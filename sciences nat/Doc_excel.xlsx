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egepsth-my.sharepoint.com/personal/2483993_etu_cegepsth_qc_ca/Documents/École/4e session/Physique/"/>
    </mc:Choice>
  </mc:AlternateContent>
  <xr:revisionPtr revIDLastSave="738" documentId="8_{1ACB0B9C-7351-4176-88EE-8988E6BB4D65}" xr6:coauthVersionLast="47" xr6:coauthVersionMax="47" xr10:uidLastSave="{4AA33492-D8B4-41A5-853C-548A9A8187A5}"/>
  <bookViews>
    <workbookView xWindow="-108" yWindow="-108" windowWidth="23256" windowHeight="12456" xr2:uid="{ABB1EE22-2B1C-439D-99C0-651EDA09D773}"/>
  </bookViews>
  <sheets>
    <sheet name="Tableaux et calculs" sheetId="1" r:id="rId1"/>
    <sheet name="RLineaire R1" sheetId="2" r:id="rId2"/>
    <sheet name="RLineaire R4" sheetId="3" r:id="rId3"/>
    <sheet name="Graphique R1" sheetId="4" r:id="rId4"/>
    <sheet name="Graphique R2" sheetId="5" r:id="rId5"/>
    <sheet name="Graphique Ampoule" sheetId="6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1" l="1"/>
  <c r="U39" i="1"/>
  <c r="T40" i="1"/>
  <c r="T39" i="1"/>
  <c r="R40" i="1"/>
  <c r="R39" i="1"/>
  <c r="Q40" i="1"/>
  <c r="Q39" i="1"/>
  <c r="F3" i="3" a="1"/>
  <c r="F3" i="3" s="1"/>
  <c r="E3" i="3" a="1"/>
  <c r="E3" i="3" s="1"/>
  <c r="D3" i="3" a="1"/>
  <c r="D3" i="3" s="1"/>
  <c r="C3" i="3" a="1"/>
  <c r="C3" i="3" s="1"/>
  <c r="F3" i="2" a="1"/>
  <c r="F3" i="2" s="1"/>
  <c r="E3" i="2" a="1"/>
  <c r="E3" i="2" s="1"/>
  <c r="D3" i="2" a="1"/>
  <c r="D3" i="2" s="1"/>
  <c r="C3" i="2" a="1"/>
  <c r="C3" i="2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0" i="1"/>
  <c r="F21" i="1"/>
  <c r="F22" i="1"/>
  <c r="F23" i="1"/>
  <c r="F24" i="1"/>
  <c r="F25" i="1"/>
  <c r="F26" i="1"/>
  <c r="F27" i="1"/>
  <c r="F28" i="1"/>
  <c r="F29" i="1"/>
  <c r="F20" i="1"/>
  <c r="B21" i="1"/>
  <c r="B22" i="1"/>
  <c r="B23" i="1"/>
  <c r="B24" i="1"/>
  <c r="B25" i="1"/>
  <c r="B26" i="1"/>
  <c r="B27" i="1"/>
  <c r="B28" i="1"/>
  <c r="B29" i="1"/>
  <c r="B20" i="1"/>
  <c r="T13" i="3" l="1" a="1"/>
  <c r="T13" i="3" s="1"/>
  <c r="T13" i="2" a="1"/>
  <c r="T13" i="2" s="1"/>
  <c r="M5" i="1" l="1"/>
  <c r="G20" i="1" s="1"/>
  <c r="H20" i="1" s="1"/>
  <c r="F14" i="1"/>
  <c r="F5" i="1"/>
  <c r="C20" i="1" s="1"/>
  <c r="D20" i="1" s="1"/>
  <c r="T11" i="1"/>
  <c r="T12" i="1"/>
  <c r="T13" i="1"/>
  <c r="T14" i="1"/>
  <c r="T15" i="1"/>
  <c r="T16" i="1"/>
  <c r="T17" i="1"/>
  <c r="T18" i="1"/>
  <c r="T19" i="1"/>
  <c r="T10" i="1"/>
  <c r="T6" i="1"/>
  <c r="T7" i="1"/>
  <c r="T8" i="1"/>
  <c r="T5" i="1"/>
  <c r="T9" i="1"/>
  <c r="M8" i="1"/>
  <c r="Q5" i="1"/>
  <c r="R5" i="1" s="1"/>
  <c r="J5" i="1"/>
  <c r="P6" i="1"/>
  <c r="Q6" i="1" s="1"/>
  <c r="R6" i="1" s="1"/>
  <c r="C5" i="1"/>
  <c r="M6" i="1"/>
  <c r="M7" i="1"/>
  <c r="M9" i="1"/>
  <c r="M10" i="1"/>
  <c r="M11" i="1"/>
  <c r="M12" i="1"/>
  <c r="M13" i="1"/>
  <c r="M14" i="1"/>
  <c r="I6" i="1"/>
  <c r="F6" i="1"/>
  <c r="F7" i="1"/>
  <c r="F8" i="1"/>
  <c r="F9" i="1"/>
  <c r="F10" i="1"/>
  <c r="F11" i="1"/>
  <c r="F12" i="1"/>
  <c r="F13" i="1"/>
  <c r="B6" i="1"/>
  <c r="U10" i="1" l="1"/>
  <c r="K25" i="1"/>
  <c r="L25" i="1" s="1"/>
  <c r="G11" i="1"/>
  <c r="C26" i="1"/>
  <c r="D26" i="1" s="1"/>
  <c r="N9" i="1"/>
  <c r="G24" i="1"/>
  <c r="H24" i="1" s="1"/>
  <c r="U6" i="1"/>
  <c r="K21" i="1"/>
  <c r="L21" i="1" s="1"/>
  <c r="G14" i="1"/>
  <c r="C29" i="1"/>
  <c r="D29" i="1" s="1"/>
  <c r="G10" i="1"/>
  <c r="C25" i="1"/>
  <c r="D25" i="1" s="1"/>
  <c r="N7" i="1"/>
  <c r="G22" i="1"/>
  <c r="H22" i="1" s="1"/>
  <c r="G9" i="1"/>
  <c r="C24" i="1"/>
  <c r="D24" i="1" s="1"/>
  <c r="N6" i="1"/>
  <c r="G21" i="1"/>
  <c r="H21" i="1" s="1"/>
  <c r="U19" i="1"/>
  <c r="K34" i="1"/>
  <c r="L34" i="1" s="1"/>
  <c r="G8" i="1"/>
  <c r="C23" i="1"/>
  <c r="D23" i="1" s="1"/>
  <c r="U18" i="1"/>
  <c r="K33" i="1"/>
  <c r="L33" i="1" s="1"/>
  <c r="G7" i="1"/>
  <c r="C22" i="1"/>
  <c r="D22" i="1" s="1"/>
  <c r="U17" i="1"/>
  <c r="K32" i="1"/>
  <c r="L32" i="1" s="1"/>
  <c r="G6" i="1"/>
  <c r="C21" i="1"/>
  <c r="D21" i="1" s="1"/>
  <c r="U16" i="1"/>
  <c r="K31" i="1"/>
  <c r="L31" i="1" s="1"/>
  <c r="U15" i="1"/>
  <c r="K30" i="1"/>
  <c r="L30" i="1" s="1"/>
  <c r="N14" i="1"/>
  <c r="G29" i="1"/>
  <c r="H29" i="1" s="1"/>
  <c r="N8" i="1"/>
  <c r="G23" i="1"/>
  <c r="H23" i="1" s="1"/>
  <c r="U14" i="1"/>
  <c r="K29" i="1"/>
  <c r="L29" i="1" s="1"/>
  <c r="N13" i="1"/>
  <c r="G28" i="1"/>
  <c r="H28" i="1" s="1"/>
  <c r="U9" i="1"/>
  <c r="K24" i="1"/>
  <c r="L24" i="1" s="1"/>
  <c r="U13" i="1"/>
  <c r="K28" i="1"/>
  <c r="L28" i="1" s="1"/>
  <c r="N12" i="1"/>
  <c r="G27" i="1"/>
  <c r="H27" i="1" s="1"/>
  <c r="U5" i="1"/>
  <c r="K20" i="1"/>
  <c r="L20" i="1" s="1"/>
  <c r="U12" i="1"/>
  <c r="K27" i="1"/>
  <c r="L27" i="1" s="1"/>
  <c r="G13" i="1"/>
  <c r="C28" i="1"/>
  <c r="D28" i="1" s="1"/>
  <c r="N11" i="1"/>
  <c r="G26" i="1"/>
  <c r="H26" i="1" s="1"/>
  <c r="U8" i="1"/>
  <c r="K23" i="1"/>
  <c r="L23" i="1" s="1"/>
  <c r="U11" i="1"/>
  <c r="K26" i="1"/>
  <c r="L26" i="1" s="1"/>
  <c r="G12" i="1"/>
  <c r="C27" i="1"/>
  <c r="D27" i="1" s="1"/>
  <c r="N10" i="1"/>
  <c r="G25" i="1"/>
  <c r="H25" i="1" s="1"/>
  <c r="U7" i="1"/>
  <c r="K22" i="1"/>
  <c r="L22" i="1" s="1"/>
  <c r="G5" i="1"/>
  <c r="D5" i="1"/>
  <c r="K5" i="1"/>
  <c r="J6" i="1"/>
  <c r="K6" i="1" s="1"/>
  <c r="B7" i="1"/>
  <c r="C7" i="1" s="1"/>
  <c r="D7" i="1" s="1"/>
  <c r="N5" i="1"/>
  <c r="I7" i="1"/>
  <c r="P7" i="1"/>
  <c r="C6" i="1"/>
  <c r="D6" i="1" s="1"/>
  <c r="B8" i="1" l="1"/>
  <c r="C8" i="1" s="1"/>
  <c r="T11" i="3" a="1"/>
  <c r="T11" i="3" s="1"/>
  <c r="J7" i="1"/>
  <c r="K7" i="1" s="1"/>
  <c r="I8" i="1"/>
  <c r="P8" i="1"/>
  <c r="Q7" i="1"/>
  <c r="R7" i="1" s="1"/>
  <c r="B9" i="1" l="1"/>
  <c r="T11" i="2" a="1"/>
  <c r="T11" i="2" s="1"/>
  <c r="D8" i="1"/>
  <c r="J8" i="1"/>
  <c r="K8" i="1" s="1"/>
  <c r="I9" i="1"/>
  <c r="C9" i="1"/>
  <c r="D9" i="1" s="1"/>
  <c r="B10" i="1"/>
  <c r="P9" i="1"/>
  <c r="Q8" i="1"/>
  <c r="R8" i="1" s="1"/>
  <c r="I10" i="1" l="1"/>
  <c r="J9" i="1"/>
  <c r="P10" i="1"/>
  <c r="Q9" i="1"/>
  <c r="R9" i="1" s="1"/>
  <c r="C10" i="1"/>
  <c r="D10" i="1" s="1"/>
  <c r="B11" i="1"/>
  <c r="K9" i="1" l="1"/>
  <c r="J10" i="1"/>
  <c r="K10" i="1" s="1"/>
  <c r="I11" i="1"/>
  <c r="B12" i="1"/>
  <c r="C11" i="1"/>
  <c r="D11" i="1" s="1"/>
  <c r="Q10" i="1"/>
  <c r="R10" i="1" s="1"/>
  <c r="P11" i="1"/>
  <c r="J11" i="1" l="1"/>
  <c r="K11" i="1" s="1"/>
  <c r="I12" i="1"/>
  <c r="P12" i="1"/>
  <c r="Q11" i="1"/>
  <c r="R11" i="1" s="1"/>
  <c r="C12" i="1"/>
  <c r="D12" i="1" s="1"/>
  <c r="B13" i="1"/>
  <c r="I13" i="1" l="1"/>
  <c r="J12" i="1"/>
  <c r="K12" i="1" s="1"/>
  <c r="C13" i="1"/>
  <c r="D13" i="1" s="1"/>
  <c r="B14" i="1"/>
  <c r="Q12" i="1"/>
  <c r="R12" i="1" s="1"/>
  <c r="P13" i="1"/>
  <c r="C14" i="1" l="1"/>
  <c r="I14" i="1"/>
  <c r="J13" i="1"/>
  <c r="K13" i="1" s="1"/>
  <c r="P14" i="1"/>
  <c r="Q13" i="1"/>
  <c r="R13" i="1" s="1"/>
  <c r="J14" i="1" l="1"/>
  <c r="D14" i="1"/>
  <c r="S11" i="2" a="1"/>
  <c r="S11" i="2" s="1"/>
  <c r="Q14" i="1"/>
  <c r="R14" i="1" s="1"/>
  <c r="P15" i="1"/>
  <c r="S13" i="2" l="1" a="1"/>
  <c r="S13" i="2" s="1"/>
  <c r="M3" i="2"/>
  <c r="G3" i="2"/>
  <c r="G4" i="2"/>
  <c r="K14" i="1"/>
  <c r="S11" i="3" a="1"/>
  <c r="S11" i="3" s="1"/>
  <c r="Q15" i="1"/>
  <c r="R15" i="1" s="1"/>
  <c r="P16" i="1"/>
  <c r="O13" i="2" l="1"/>
  <c r="P13" i="2"/>
  <c r="M4" i="2"/>
  <c r="M5" i="2"/>
  <c r="H3" i="2"/>
  <c r="S13" i="3" a="1"/>
  <c r="S13" i="3" s="1"/>
  <c r="G3" i="3"/>
  <c r="G4" i="3"/>
  <c r="M3" i="3"/>
  <c r="P17" i="1"/>
  <c r="Q16" i="1"/>
  <c r="R16" i="1" s="1"/>
  <c r="O16" i="2" l="1"/>
  <c r="J3" i="2"/>
  <c r="H14" i="2"/>
  <c r="H21" i="2"/>
  <c r="H27" i="2"/>
  <c r="H22" i="2"/>
  <c r="H25" i="2"/>
  <c r="L3" i="2"/>
  <c r="H26" i="2"/>
  <c r="H16" i="2"/>
  <c r="H24" i="2"/>
  <c r="I3" i="2"/>
  <c r="H18" i="2"/>
  <c r="H17" i="2"/>
  <c r="H4" i="2"/>
  <c r="H15" i="2"/>
  <c r="K3" i="2"/>
  <c r="H13" i="2"/>
  <c r="H20" i="2"/>
  <c r="H19" i="2"/>
  <c r="H23" i="2"/>
  <c r="H12" i="2"/>
  <c r="H5" i="2"/>
  <c r="H10" i="2"/>
  <c r="H8" i="2"/>
  <c r="H6" i="2"/>
  <c r="H11" i="2"/>
  <c r="H9" i="2"/>
  <c r="H7" i="2"/>
  <c r="N2" i="2"/>
  <c r="N3" i="2" s="1"/>
  <c r="H3" i="3"/>
  <c r="M5" i="3"/>
  <c r="P13" i="3"/>
  <c r="M4" i="3"/>
  <c r="O13" i="3"/>
  <c r="P18" i="1"/>
  <c r="Q17" i="1"/>
  <c r="R17" i="1" s="1"/>
  <c r="O16" i="3" l="1"/>
  <c r="N2" i="3"/>
  <c r="N3" i="3" s="1"/>
  <c r="W18" i="2"/>
  <c r="J18" i="2"/>
  <c r="X18" i="2"/>
  <c r="I18" i="2"/>
  <c r="K18" i="2"/>
  <c r="L18" i="2"/>
  <c r="V18" i="2" s="1"/>
  <c r="G18" i="2"/>
  <c r="X24" i="2"/>
  <c r="I24" i="2"/>
  <c r="W24" i="2"/>
  <c r="G24" i="2"/>
  <c r="K24" i="2"/>
  <c r="J24" i="2"/>
  <c r="L24" i="2"/>
  <c r="V24" i="2" s="1"/>
  <c r="X26" i="2"/>
  <c r="G26" i="2"/>
  <c r="K26" i="2"/>
  <c r="W26" i="2"/>
  <c r="I26" i="2"/>
  <c r="J26" i="2"/>
  <c r="L26" i="2"/>
  <c r="V26" i="2" s="1"/>
  <c r="I19" i="2"/>
  <c r="X19" i="2"/>
  <c r="K19" i="2"/>
  <c r="L19" i="2"/>
  <c r="V19" i="2" s="1"/>
  <c r="J19" i="2"/>
  <c r="W19" i="2"/>
  <c r="G19" i="2"/>
  <c r="I13" i="2"/>
  <c r="K13" i="2"/>
  <c r="J13" i="2"/>
  <c r="W13" i="2"/>
  <c r="L13" i="2"/>
  <c r="V13" i="2" s="1"/>
  <c r="X13" i="2"/>
  <c r="G13" i="2"/>
  <c r="L6" i="2"/>
  <c r="J6" i="2"/>
  <c r="K6" i="2"/>
  <c r="I6" i="2"/>
  <c r="G6" i="2"/>
  <c r="L27" i="2"/>
  <c r="V27" i="2" s="1"/>
  <c r="K27" i="2"/>
  <c r="X27" i="2"/>
  <c r="J27" i="2"/>
  <c r="I27" i="2"/>
  <c r="W27" i="2"/>
  <c r="G27" i="2"/>
  <c r="K5" i="2"/>
  <c r="I5" i="2"/>
  <c r="L5" i="2"/>
  <c r="J5" i="2"/>
  <c r="G5" i="2"/>
  <c r="H30" i="2"/>
  <c r="K8" i="2"/>
  <c r="J8" i="2"/>
  <c r="I8" i="2"/>
  <c r="L8" i="2"/>
  <c r="G8" i="2"/>
  <c r="I15" i="2"/>
  <c r="K15" i="2"/>
  <c r="G15" i="2"/>
  <c r="L15" i="2"/>
  <c r="V15" i="2" s="1"/>
  <c r="X15" i="2"/>
  <c r="W15" i="2"/>
  <c r="J15" i="2"/>
  <c r="I21" i="2"/>
  <c r="G21" i="2"/>
  <c r="L21" i="2"/>
  <c r="V21" i="2" s="1"/>
  <c r="X21" i="2"/>
  <c r="K21" i="2"/>
  <c r="J21" i="2"/>
  <c r="W21" i="2"/>
  <c r="X17" i="2"/>
  <c r="K17" i="2"/>
  <c r="L17" i="2"/>
  <c r="V17" i="2" s="1"/>
  <c r="J17" i="2"/>
  <c r="W17" i="2"/>
  <c r="I17" i="2"/>
  <c r="G17" i="2"/>
  <c r="J12" i="2"/>
  <c r="K12" i="2"/>
  <c r="L12" i="2"/>
  <c r="I12" i="2"/>
  <c r="G12" i="2"/>
  <c r="H13" i="3"/>
  <c r="H15" i="3"/>
  <c r="K3" i="3"/>
  <c r="I3" i="3"/>
  <c r="H19" i="3"/>
  <c r="H23" i="3"/>
  <c r="H22" i="3"/>
  <c r="H4" i="3"/>
  <c r="H18" i="3"/>
  <c r="J3" i="3"/>
  <c r="L3" i="3"/>
  <c r="H24" i="3"/>
  <c r="H14" i="3"/>
  <c r="H25" i="3"/>
  <c r="H16" i="3"/>
  <c r="H27" i="3"/>
  <c r="H17" i="3"/>
  <c r="H26" i="3"/>
  <c r="H20" i="3"/>
  <c r="H21" i="3"/>
  <c r="H7" i="3"/>
  <c r="H9" i="3"/>
  <c r="H12" i="3"/>
  <c r="H11" i="3"/>
  <c r="H6" i="3"/>
  <c r="H8" i="3"/>
  <c r="H5" i="3"/>
  <c r="H10" i="3"/>
  <c r="L16" i="2"/>
  <c r="V16" i="2" s="1"/>
  <c r="G16" i="2"/>
  <c r="K16" i="2"/>
  <c r="J16" i="2"/>
  <c r="I16" i="2"/>
  <c r="X16" i="2"/>
  <c r="W16" i="2"/>
  <c r="L23" i="2"/>
  <c r="V23" i="2" s="1"/>
  <c r="J23" i="2"/>
  <c r="X23" i="2"/>
  <c r="I23" i="2"/>
  <c r="W23" i="2"/>
  <c r="G23" i="2"/>
  <c r="K23" i="2"/>
  <c r="L7" i="2"/>
  <c r="K7" i="2"/>
  <c r="J7" i="2"/>
  <c r="I7" i="2"/>
  <c r="G7" i="2"/>
  <c r="L9" i="2"/>
  <c r="K9" i="2"/>
  <c r="J9" i="2"/>
  <c r="I9" i="2"/>
  <c r="G9" i="2"/>
  <c r="K20" i="2"/>
  <c r="I20" i="2"/>
  <c r="G20" i="2"/>
  <c r="L20" i="2"/>
  <c r="V20" i="2" s="1"/>
  <c r="W20" i="2"/>
  <c r="X20" i="2"/>
  <c r="J20" i="2"/>
  <c r="W25" i="2"/>
  <c r="I25" i="2"/>
  <c r="H28" i="2"/>
  <c r="X25" i="2"/>
  <c r="J25" i="2"/>
  <c r="L25" i="2"/>
  <c r="V25" i="2" s="1"/>
  <c r="K25" i="2"/>
  <c r="G25" i="2"/>
  <c r="I11" i="2"/>
  <c r="J11" i="2"/>
  <c r="L11" i="2"/>
  <c r="K11" i="2"/>
  <c r="G11" i="2"/>
  <c r="I22" i="2"/>
  <c r="J22" i="2"/>
  <c r="G22" i="2"/>
  <c r="L22" i="2"/>
  <c r="V22" i="2" s="1"/>
  <c r="X22" i="2"/>
  <c r="W22" i="2"/>
  <c r="K22" i="2"/>
  <c r="L10" i="2"/>
  <c r="I10" i="2"/>
  <c r="K10" i="2"/>
  <c r="J10" i="2"/>
  <c r="G10" i="2"/>
  <c r="L4" i="2"/>
  <c r="J4" i="2"/>
  <c r="K4" i="2"/>
  <c r="I4" i="2"/>
  <c r="L14" i="2"/>
  <c r="V14" i="2" s="1"/>
  <c r="I14" i="2"/>
  <c r="K14" i="2"/>
  <c r="W14" i="2"/>
  <c r="X14" i="2"/>
  <c r="J14" i="2"/>
  <c r="G14" i="2"/>
  <c r="P19" i="1"/>
  <c r="Q19" i="1" s="1"/>
  <c r="R19" i="1" s="1"/>
  <c r="Q18" i="1"/>
  <c r="R18" i="1" s="1"/>
  <c r="I30" i="2" l="1"/>
  <c r="K30" i="2"/>
  <c r="J30" i="2"/>
  <c r="L30" i="2"/>
  <c r="W22" i="3"/>
  <c r="X22" i="3"/>
  <c r="J22" i="3"/>
  <c r="G22" i="3"/>
  <c r="K22" i="3"/>
  <c r="I22" i="3"/>
  <c r="L22" i="3"/>
  <c r="V22" i="3" s="1"/>
  <c r="J7" i="3"/>
  <c r="K7" i="3"/>
  <c r="I7" i="3"/>
  <c r="L7" i="3"/>
  <c r="G7" i="3"/>
  <c r="G18" i="3"/>
  <c r="K18" i="3"/>
  <c r="L18" i="3"/>
  <c r="V18" i="3" s="1"/>
  <c r="I18" i="3"/>
  <c r="X18" i="3"/>
  <c r="W18" i="3"/>
  <c r="J18" i="3"/>
  <c r="I10" i="3"/>
  <c r="K10" i="3"/>
  <c r="J10" i="3"/>
  <c r="L10" i="3"/>
  <c r="G10" i="3"/>
  <c r="J5" i="3"/>
  <c r="L5" i="3"/>
  <c r="K5" i="3"/>
  <c r="I5" i="3"/>
  <c r="G5" i="3"/>
  <c r="I8" i="3"/>
  <c r="L8" i="3"/>
  <c r="J8" i="3"/>
  <c r="K8" i="3"/>
  <c r="G8" i="3"/>
  <c r="J16" i="3"/>
  <c r="X16" i="3"/>
  <c r="G16" i="3"/>
  <c r="K16" i="3"/>
  <c r="L16" i="3"/>
  <c r="V16" i="3" s="1"/>
  <c r="W16" i="3"/>
  <c r="I16" i="3"/>
  <c r="J24" i="3"/>
  <c r="K24" i="3"/>
  <c r="W24" i="3"/>
  <c r="I24" i="3"/>
  <c r="G24" i="3"/>
  <c r="L24" i="3"/>
  <c r="V24" i="3" s="1"/>
  <c r="X24" i="3"/>
  <c r="G21" i="3"/>
  <c r="I21" i="3"/>
  <c r="J21" i="3"/>
  <c r="L21" i="3"/>
  <c r="V21" i="3" s="1"/>
  <c r="W21" i="3"/>
  <c r="X21" i="3"/>
  <c r="K21" i="3"/>
  <c r="L23" i="3"/>
  <c r="V23" i="3" s="1"/>
  <c r="J23" i="3"/>
  <c r="W23" i="3"/>
  <c r="I23" i="3"/>
  <c r="X23" i="3"/>
  <c r="K23" i="3"/>
  <c r="G23" i="3"/>
  <c r="I17" i="3"/>
  <c r="J17" i="3"/>
  <c r="K17" i="3"/>
  <c r="W17" i="3"/>
  <c r="X17" i="3"/>
  <c r="L17" i="3"/>
  <c r="V17" i="3" s="1"/>
  <c r="G17" i="3"/>
  <c r="K6" i="3"/>
  <c r="I6" i="3"/>
  <c r="J6" i="3"/>
  <c r="L6" i="3"/>
  <c r="G6" i="3"/>
  <c r="J11" i="3"/>
  <c r="K11" i="3"/>
  <c r="L11" i="3"/>
  <c r="I11" i="3"/>
  <c r="G11" i="3"/>
  <c r="I25" i="3"/>
  <c r="W25" i="3"/>
  <c r="G25" i="3"/>
  <c r="J25" i="3"/>
  <c r="X25" i="3"/>
  <c r="K25" i="3"/>
  <c r="H28" i="3"/>
  <c r="L25" i="3"/>
  <c r="V25" i="3" s="1"/>
  <c r="G15" i="3"/>
  <c r="I15" i="3"/>
  <c r="L15" i="3"/>
  <c r="V15" i="3" s="1"/>
  <c r="J15" i="3"/>
  <c r="W15" i="3"/>
  <c r="K15" i="3"/>
  <c r="X15" i="3"/>
  <c r="X28" i="2"/>
  <c r="W28" i="2"/>
  <c r="I4" i="3"/>
  <c r="K4" i="3"/>
  <c r="L4" i="3"/>
  <c r="J4" i="3"/>
  <c r="L20" i="3"/>
  <c r="V20" i="3" s="1"/>
  <c r="K20" i="3"/>
  <c r="J20" i="3"/>
  <c r="I20" i="3"/>
  <c r="W20" i="3"/>
  <c r="X20" i="3"/>
  <c r="G20" i="3"/>
  <c r="X26" i="3"/>
  <c r="J26" i="3"/>
  <c r="L26" i="3"/>
  <c r="V26" i="3" s="1"/>
  <c r="G26" i="3"/>
  <c r="W26" i="3"/>
  <c r="I26" i="3"/>
  <c r="K26" i="3"/>
  <c r="H30" i="3"/>
  <c r="I19" i="3"/>
  <c r="G19" i="3"/>
  <c r="J19" i="3"/>
  <c r="L19" i="3"/>
  <c r="V19" i="3" s="1"/>
  <c r="W19" i="3"/>
  <c r="X19" i="3"/>
  <c r="K19" i="3"/>
  <c r="L27" i="3"/>
  <c r="V27" i="3" s="1"/>
  <c r="W27" i="3"/>
  <c r="G27" i="3"/>
  <c r="J27" i="3"/>
  <c r="X27" i="3"/>
  <c r="I27" i="3"/>
  <c r="K27" i="3"/>
  <c r="K12" i="3"/>
  <c r="J12" i="3"/>
  <c r="L12" i="3"/>
  <c r="I12" i="3"/>
  <c r="G12" i="3"/>
  <c r="I9" i="3"/>
  <c r="J9" i="3"/>
  <c r="K9" i="3"/>
  <c r="L9" i="3"/>
  <c r="G9" i="3"/>
  <c r="I14" i="3"/>
  <c r="G14" i="3"/>
  <c r="X14" i="3"/>
  <c r="J14" i="3"/>
  <c r="K14" i="3"/>
  <c r="L14" i="3"/>
  <c r="V14" i="3" s="1"/>
  <c r="W14" i="3"/>
  <c r="I13" i="3"/>
  <c r="G13" i="3"/>
  <c r="K13" i="3"/>
  <c r="W13" i="3"/>
  <c r="X13" i="3"/>
  <c r="J13" i="3"/>
  <c r="L13" i="3"/>
  <c r="V13" i="3" s="1"/>
  <c r="M30" i="2" l="1"/>
  <c r="P5" i="2" s="1"/>
  <c r="F39" i="1" s="1"/>
  <c r="K30" i="3"/>
  <c r="J30" i="3"/>
  <c r="I30" i="3"/>
  <c r="L30" i="3"/>
  <c r="X28" i="3"/>
  <c r="W28" i="3"/>
  <c r="M30" i="3" l="1"/>
  <c r="O3" i="3" s="1"/>
  <c r="O5" i="2"/>
  <c r="E39" i="1" s="1"/>
  <c r="G39" i="1" s="1"/>
  <c r="O3" i="2"/>
  <c r="P3" i="2"/>
  <c r="C39" i="1" s="1"/>
  <c r="B39" i="1"/>
  <c r="B44" i="1" s="1"/>
  <c r="C44" i="1" l="1"/>
  <c r="D44" i="1" s="1"/>
  <c r="I39" i="1"/>
  <c r="F44" i="1" s="1"/>
  <c r="D39" i="1"/>
  <c r="T4" i="2"/>
  <c r="P5" i="3"/>
  <c r="M39" i="1" s="1"/>
  <c r="O5" i="3"/>
  <c r="L39" i="1" s="1"/>
  <c r="N39" i="1" s="1"/>
  <c r="P3" i="3"/>
  <c r="J39" i="1" s="1"/>
  <c r="V9" i="2"/>
  <c r="V11" i="2"/>
  <c r="V10" i="2"/>
  <c r="V7" i="2"/>
  <c r="V5" i="2"/>
  <c r="V12" i="2"/>
  <c r="V6" i="2"/>
  <c r="T6" i="2"/>
  <c r="V8" i="2"/>
  <c r="V4" i="2"/>
  <c r="V3" i="2"/>
  <c r="S6" i="2"/>
  <c r="Q3" i="2"/>
  <c r="S4" i="2"/>
  <c r="G44" i="1" l="1"/>
  <c r="H44" i="1" s="1"/>
  <c r="S4" i="3"/>
  <c r="S6" i="3"/>
  <c r="V3" i="3"/>
  <c r="Q3" i="3"/>
  <c r="K39" i="1"/>
  <c r="V5" i="3"/>
  <c r="V8" i="3"/>
  <c r="V6" i="3"/>
  <c r="T6" i="3"/>
  <c r="V10" i="3"/>
  <c r="T4" i="3"/>
  <c r="V9" i="3"/>
  <c r="V7" i="3"/>
  <c r="V12" i="3"/>
  <c r="V4" i="3"/>
  <c r="V11" i="3"/>
  <c r="S8" i="2"/>
  <c r="X10" i="2" s="1"/>
  <c r="S8" i="3" l="1"/>
  <c r="X7" i="3"/>
  <c r="W8" i="3"/>
  <c r="W3" i="3"/>
  <c r="W12" i="3"/>
  <c r="W5" i="3"/>
  <c r="W10" i="3"/>
  <c r="X5" i="3"/>
  <c r="X8" i="3"/>
  <c r="X12" i="3"/>
  <c r="W7" i="3"/>
  <c r="X9" i="3"/>
  <c r="W11" i="3"/>
  <c r="W9" i="3"/>
  <c r="X11" i="3"/>
  <c r="X4" i="3"/>
  <c r="W4" i="3"/>
  <c r="X10" i="3"/>
  <c r="X3" i="3"/>
  <c r="W6" i="3"/>
  <c r="X12" i="2"/>
  <c r="X8" i="2"/>
  <c r="W9" i="2"/>
  <c r="X3" i="2"/>
  <c r="W7" i="2"/>
  <c r="W12" i="2"/>
  <c r="W6" i="2"/>
  <c r="W4" i="2"/>
  <c r="W5" i="2"/>
  <c r="W10" i="2"/>
  <c r="W11" i="2"/>
  <c r="W3" i="2"/>
  <c r="X4" i="2"/>
  <c r="X9" i="2"/>
  <c r="X11" i="2"/>
  <c r="X5" i="2"/>
  <c r="W8" i="2"/>
  <c r="X7" i="2"/>
  <c r="X6" i="2"/>
  <c r="X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<sst xmlns="http://schemas.openxmlformats.org/spreadsheetml/2006/main" count="97" uniqueCount="61">
  <si>
    <t>Tableau 1 : Intensité du courant par rapport à la différence de potentiel aux bornes de la résistance 1</t>
  </si>
  <si>
    <t>Tableau 2 : Intensité du courant par rapport à la différence de potentiel aux bornes de la résistance 4</t>
  </si>
  <si>
    <t>Tableau 3 : Intensité du courant par rapport à la différence de potentiel aux bornes de l'ampoule</t>
  </si>
  <si>
    <t>i</t>
  </si>
  <si>
    <t>x</t>
  </si>
  <si>
    <t>∆x</t>
  </si>
  <si>
    <t>y</t>
  </si>
  <si>
    <t>∆y</t>
  </si>
  <si>
    <r>
      <t>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/>
    </r>
  </si>
  <si>
    <r>
      <t>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x</t>
    </r>
    <r>
      <rPr>
        <vertAlign val="subscript"/>
        <sz val="11"/>
        <color theme="1"/>
        <rFont val="Calibri"/>
        <family val="2"/>
      </rPr>
      <t>i</t>
    </r>
  </si>
  <si>
    <r>
      <t>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y</t>
    </r>
    <r>
      <rPr>
        <vertAlign val="subscript"/>
        <sz val="11"/>
        <color theme="1"/>
        <rFont val="Calibri"/>
        <family val="2"/>
      </rPr>
      <t>i</t>
    </r>
  </si>
  <si>
    <r>
      <t>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x</t>
    </r>
    <r>
      <rPr>
        <vertAlign val="subscript"/>
        <sz val="11"/>
        <color theme="1"/>
        <rFont val="Calibri"/>
        <family val="2"/>
      </rPr>
      <t>i</t>
    </r>
    <r>
      <rPr>
        <vertAlign val="superscript"/>
        <sz val="11"/>
        <color theme="1"/>
        <rFont val="Calibri"/>
        <family val="2"/>
      </rPr>
      <t>2</t>
    </r>
  </si>
  <si>
    <r>
      <t>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x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y</t>
    </r>
    <r>
      <rPr>
        <vertAlign val="subscript"/>
        <sz val="11"/>
        <color theme="1"/>
        <rFont val="Calibri"/>
        <family val="2"/>
      </rPr>
      <t>i</t>
    </r>
  </si>
  <si>
    <t>pente Excel</t>
  </si>
  <si>
    <t>a</t>
  </si>
  <si>
    <t xml:space="preserve"> </t>
  </si>
  <si>
    <t>Test "pente min - pente max"</t>
  </si>
  <si>
    <t>Droite de régression</t>
  </si>
  <si>
    <r>
      <t>y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</si>
  <si>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y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>min</t>
    </r>
  </si>
  <si>
    <t>b</t>
  </si>
  <si>
    <r>
      <t>y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</si>
  <si>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y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x</t>
    </r>
    <r>
      <rPr>
        <vertAlign val="subscript"/>
        <sz val="11"/>
        <color theme="1"/>
        <rFont val="Aptos Narrow"/>
        <family val="2"/>
        <scheme val="minor"/>
      </rPr>
      <t>max</t>
    </r>
  </si>
  <si>
    <t>Test</t>
  </si>
  <si>
    <t>Points extrêmes et règles simples</t>
  </si>
  <si>
    <t>dyN</t>
  </si>
  <si>
    <t>dxN</t>
  </si>
  <si>
    <t>yN</t>
  </si>
  <si>
    <t>xN</t>
  </si>
  <si>
    <r>
      <t>Σw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/>
    </r>
  </si>
  <si>
    <r>
      <t>Σw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x</t>
    </r>
    <r>
      <rPr>
        <vertAlign val="subscript"/>
        <sz val="11"/>
        <color theme="1"/>
        <rFont val="Calibri"/>
        <family val="2"/>
      </rPr>
      <t>i</t>
    </r>
  </si>
  <si>
    <r>
      <t>Σw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y</t>
    </r>
    <r>
      <rPr>
        <vertAlign val="subscript"/>
        <sz val="11"/>
        <color theme="1"/>
        <rFont val="Calibri"/>
        <family val="2"/>
      </rPr>
      <t>i</t>
    </r>
  </si>
  <si>
    <r>
      <t>Σw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x</t>
    </r>
    <r>
      <rPr>
        <vertAlign val="subscript"/>
        <sz val="11"/>
        <color theme="1"/>
        <rFont val="Calibri"/>
        <family val="2"/>
      </rPr>
      <t>i</t>
    </r>
    <r>
      <rPr>
        <vertAlign val="superscript"/>
        <sz val="11"/>
        <color theme="1"/>
        <rFont val="Calibri"/>
        <family val="2"/>
      </rPr>
      <t>2</t>
    </r>
  </si>
  <si>
    <r>
      <t>Σw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x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y</t>
    </r>
    <r>
      <rPr>
        <vertAlign val="subscript"/>
        <sz val="11"/>
        <color theme="1"/>
        <rFont val="Calibri"/>
        <family val="2"/>
      </rPr>
      <t>i</t>
    </r>
  </si>
  <si>
    <t>W</t>
  </si>
  <si>
    <r>
      <t>R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(Ω)</t>
    </r>
  </si>
  <si>
    <r>
      <t xml:space="preserve">Il n'existe pas de relation </t>
    </r>
    <r>
      <rPr>
        <u/>
        <sz val="11"/>
        <color theme="1"/>
        <rFont val="Aptos Narrow"/>
        <family val="2"/>
        <scheme val="minor"/>
      </rPr>
      <t>linéaire</t>
    </r>
    <r>
      <rPr>
        <sz val="11"/>
        <color theme="1"/>
        <rFont val="Aptos Narrow"/>
        <family val="2"/>
        <scheme val="minor"/>
      </rPr>
      <t xml:space="preserve"> entre la tension et l'intensité du courant traversant l'ampoule car cette dernière oppose au courant une résistance non-ohmique.</t>
    </r>
  </si>
  <si>
    <t>*Les cases en gris très pâle marquent un changement d'échelle de mesure avec l'instrument utilisé.</t>
  </si>
  <si>
    <t>Tableau 4 : Intensité du courant en unités standardisées pour la résistance 1</t>
  </si>
  <si>
    <t>Tableau 5 : Intensité du courant en unités standardisées pour la résistance 2</t>
  </si>
  <si>
    <t>Tableau 6 : Intensité du courant en unités standardisées pour l'ampoule</t>
  </si>
  <si>
    <r>
      <t>I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(mA)</t>
    </r>
  </si>
  <si>
    <r>
      <t>∆V</t>
    </r>
    <r>
      <rPr>
        <vertAlign val="subscript"/>
        <sz val="11"/>
        <color theme="1"/>
        <rFont val="Aptos Narrow"/>
        <family val="2"/>
      </rPr>
      <t>R1</t>
    </r>
    <r>
      <rPr>
        <sz val="11"/>
        <color theme="1"/>
        <rFont val="Aptos Narrow"/>
      </rPr>
      <t xml:space="preserve"> (V)</t>
    </r>
  </si>
  <si>
    <r>
      <t>∆V</t>
    </r>
    <r>
      <rPr>
        <vertAlign val="subscript"/>
        <sz val="11"/>
        <color theme="1"/>
        <rFont val="Aptos Narrow"/>
        <family val="2"/>
      </rPr>
      <t>R4</t>
    </r>
    <r>
      <rPr>
        <sz val="11"/>
        <color theme="1"/>
        <rFont val="Aptos Narrow"/>
      </rPr>
      <t xml:space="preserve"> (V)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</si>
  <si>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(A)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</si>
  <si>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(10</t>
    </r>
    <r>
      <rPr>
        <vertAlign val="super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Ω)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</si>
  <si>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(µA)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</si>
  <si>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(mA)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</si>
  <si>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</si>
  <si>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(A)</t>
    </r>
  </si>
  <si>
    <r>
      <t>∆V</t>
    </r>
    <r>
      <rPr>
        <vertAlign val="subscript"/>
        <sz val="11"/>
        <color theme="1"/>
        <rFont val="Aptos Narrow"/>
        <family val="2"/>
      </rPr>
      <t>RA</t>
    </r>
    <r>
      <rPr>
        <sz val="11"/>
        <color theme="1"/>
        <rFont val="Aptos Narrow"/>
      </rPr>
      <t xml:space="preserve"> (V)</t>
    </r>
  </si>
  <si>
    <t>Tableau 8 : Résistance de la résistance 1</t>
  </si>
  <si>
    <r>
      <t>p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(Ω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</si>
  <si>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t>Tableau 9 : Résistance de la résistance 4</t>
  </si>
  <si>
    <t>Tableau 7 : Pente et ordonnée à l'origine du premier fichier de régression linéaire</t>
  </si>
  <si>
    <t>Tableau 8 : Pente et ordonnée à l'origine du deuxième fichier de régression linéaire</t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</si>
  <si>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(A)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</si>
  <si>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(10</t>
    </r>
    <r>
      <rPr>
        <vertAlign val="superscript"/>
        <sz val="11"/>
        <color theme="1"/>
        <rFont val="Aptos Narrow"/>
        <family val="2"/>
        <scheme val="minor"/>
      </rPr>
      <t>-5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Ω</t>
    </r>
    <r>
      <rPr>
        <vertAlign val="superscript"/>
        <sz val="11"/>
        <color theme="1"/>
        <rFont val="Aptos Narrow"/>
        <family val="2"/>
      </rPr>
      <t>-1</t>
    </r>
    <r>
      <rPr>
        <sz val="11"/>
        <color theme="1"/>
        <rFont val="Aptos Narrow"/>
        <family val="2"/>
      </rPr>
      <t>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</si>
  <si>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(10</t>
    </r>
    <r>
      <rPr>
        <vertAlign val="superscript"/>
        <sz val="11"/>
        <color theme="1"/>
        <rFont val="Aptos Narrow"/>
        <family val="2"/>
        <scheme val="minor"/>
      </rPr>
      <t>-5</t>
    </r>
    <r>
      <rPr>
        <sz val="11"/>
        <color theme="1"/>
        <rFont val="Aptos Narrow"/>
        <family val="2"/>
        <scheme val="minor"/>
      </rPr>
      <t xml:space="preserve"> A)</t>
    </r>
  </si>
  <si>
    <t>Graphique 1</t>
  </si>
  <si>
    <t>Graphique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</si>
</sst>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"/>
    <numFmt numFmtId="165" formatCode="0.0"/>
    <numFmt numFmtId="166" formatCode="\±\ 0.00"/>
    <numFmt numFmtId="167" formatCode="\±\ 0.0"/>
    <numFmt numFmtId="168" formatCode="\±\ 0.000"/>
    <numFmt numFmtId="169" formatCode="&quot;à&quot;\ 0.00%"/>
    <numFmt numFmtId="170" formatCode="&quot;à&quot;\ 0.0%"/>
    <numFmt numFmtId="171" formatCode="&quot;à&quot;\ 0%"/>
    <numFmt numFmtId="172" formatCode="&quot;±&quot;\ General"/>
    <numFmt numFmtId="173" formatCode="\±\ 0.0000"/>
    <numFmt numFmtId="174" formatCode="\±\ 0.00000"/>
    <numFmt numFmtId="175" formatCode="0.0000"/>
    <numFmt numFmtId="176" formatCode="0.00000"/>
    <numFmt numFmtId="177" formatCode="\±\ 0.000000"/>
    <numFmt numFmtId="178" formatCode="\±\ 0.0000000"/>
    <numFmt numFmtId="180" formatCode="0.000000"/>
    <numFmt numFmtId="181" formatCode="0.0000000"/>
    <numFmt numFmtId="182" formatCode="\±\ 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4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8" xfId="0" applyNumberForma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/>
    <xf numFmtId="0" fontId="0" fillId="0" borderId="12" xfId="0" applyBorder="1"/>
    <xf numFmtId="0" fontId="0" fillId="0" borderId="11" xfId="0" applyBorder="1"/>
    <xf numFmtId="172" fontId="0" fillId="0" borderId="9" xfId="0" applyNumberFormat="1" applyBorder="1" applyAlignment="1">
      <alignment horizontal="center"/>
    </xf>
    <xf numFmtId="172" fontId="0" fillId="0" borderId="0" xfId="0" applyNumberFormat="1" applyAlignment="1">
      <alignment horizontal="center"/>
    </xf>
    <xf numFmtId="0" fontId="0" fillId="0" borderId="13" xfId="0" applyBorder="1"/>
    <xf numFmtId="0" fontId="0" fillId="0" borderId="14" xfId="0" applyBorder="1"/>
    <xf numFmtId="0" fontId="12" fillId="0" borderId="0" xfId="0" applyFont="1"/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7" fillId="0" borderId="0" xfId="0" applyFont="1"/>
    <xf numFmtId="0" fontId="7" fillId="4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169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7" fontId="0" fillId="0" borderId="22" xfId="0" applyNumberFormat="1" applyBorder="1" applyAlignment="1">
      <alignment horizontal="center" vertical="center"/>
    </xf>
    <xf numFmtId="170" fontId="0" fillId="2" borderId="23" xfId="0" applyNumberFormat="1" applyFill="1" applyBorder="1" applyAlignment="1">
      <alignment horizontal="center" vertical="center"/>
    </xf>
    <xf numFmtId="171" fontId="0" fillId="0" borderId="20" xfId="0" applyNumberFormat="1" applyBorder="1" applyAlignment="1">
      <alignment horizontal="center" vertical="center"/>
    </xf>
    <xf numFmtId="170" fontId="0" fillId="0" borderId="20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2" borderId="20" xfId="0" applyNumberFormat="1" applyFill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69" fontId="0" fillId="0" borderId="22" xfId="0" applyNumberFormat="1" applyBorder="1" applyAlignment="1">
      <alignment horizontal="center" vertical="center"/>
    </xf>
    <xf numFmtId="171" fontId="0" fillId="0" borderId="23" xfId="0" applyNumberFormat="1" applyBorder="1" applyAlignment="1">
      <alignment horizontal="center" vertical="center"/>
    </xf>
    <xf numFmtId="170" fontId="0" fillId="0" borderId="2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72" fontId="0" fillId="7" borderId="3" xfId="0" applyNumberFormat="1" applyFill="1" applyBorder="1" applyAlignment="1">
      <alignment horizontal="center"/>
    </xf>
    <xf numFmtId="172" fontId="0" fillId="7" borderId="2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166" fontId="0" fillId="2" borderId="22" xfId="0" applyNumberFormat="1" applyFill="1" applyBorder="1" applyAlignment="1">
      <alignment horizontal="center" vertical="center"/>
    </xf>
    <xf numFmtId="167" fontId="0" fillId="2" borderId="22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4" fillId="0" borderId="0" xfId="0" applyFont="1" applyFill="1" applyBorder="1" applyAlignment="1">
      <alignment vertical="top" wrapText="1"/>
    </xf>
    <xf numFmtId="0" fontId="14" fillId="0" borderId="25" xfId="0" applyFont="1" applyFill="1" applyBorder="1" applyAlignment="1">
      <alignment horizontal="left"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175" fontId="0" fillId="0" borderId="19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5" fontId="0" fillId="0" borderId="21" xfId="0" applyNumberFormat="1" applyBorder="1" applyAlignment="1">
      <alignment horizontal="center" vertical="center"/>
    </xf>
    <xf numFmtId="173" fontId="0" fillId="0" borderId="22" xfId="0" applyNumberFormat="1" applyBorder="1" applyAlignment="1">
      <alignment horizontal="center" vertical="center"/>
    </xf>
    <xf numFmtId="173" fontId="0" fillId="2" borderId="22" xfId="0" applyNumberFormat="1" applyFill="1" applyBorder="1" applyAlignment="1">
      <alignment horizontal="center" vertical="center"/>
    </xf>
    <xf numFmtId="174" fontId="0" fillId="0" borderId="22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180" fontId="0" fillId="0" borderId="21" xfId="0" applyNumberFormat="1" applyBorder="1" applyAlignment="1">
      <alignment horizontal="center" vertical="center"/>
    </xf>
    <xf numFmtId="181" fontId="0" fillId="0" borderId="19" xfId="0" applyNumberFormat="1" applyBorder="1" applyAlignment="1">
      <alignment horizontal="center" vertical="center"/>
    </xf>
    <xf numFmtId="181" fontId="0" fillId="0" borderId="21" xfId="0" applyNumberFormat="1" applyBorder="1" applyAlignment="1">
      <alignment horizontal="center" vertical="center"/>
    </xf>
    <xf numFmtId="173" fontId="0" fillId="2" borderId="1" xfId="0" applyNumberFormat="1" applyFill="1" applyBorder="1" applyAlignment="1">
      <alignment horizontal="center" vertical="center"/>
    </xf>
    <xf numFmtId="182" fontId="0" fillId="0" borderId="22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169" fontId="0" fillId="0" borderId="23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81" fontId="0" fillId="0" borderId="20" xfId="0" applyNumberFormat="1" applyBorder="1" applyAlignment="1">
      <alignment horizontal="center" vertical="center"/>
    </xf>
    <xf numFmtId="181" fontId="0" fillId="0" borderId="23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5" fontId="0" fillId="0" borderId="23" xfId="0" applyNumberForma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eetMetadata" Target="metadata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Droites</a:t>
            </a:r>
            <a:r>
              <a:rPr lang="fr-CA" baseline="0"/>
              <a:t> de régression moyenne et extrêmes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'RLineaire R1'!$C$3:$C$27</c:f>
              <c:numCache>
                <c:formatCode>General</c:formatCode>
                <c:ptCount val="25"/>
                <c:pt idx="0" formatCode="0.0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R1'!$V$3:$V$27</c:f>
              <c:numCache>
                <c:formatCode>General</c:formatCode>
                <c:ptCount val="25"/>
                <c:pt idx="0">
                  <c:v>2.0274792154936282E-3</c:v>
                </c:pt>
                <c:pt idx="1">
                  <c:v>4.0652718493528551E-3</c:v>
                </c:pt>
                <c:pt idx="2">
                  <c:v>6.1030644832120815E-3</c:v>
                </c:pt>
                <c:pt idx="3">
                  <c:v>8.1408571170713071E-3</c:v>
                </c:pt>
                <c:pt idx="4">
                  <c:v>1.0178649750930533E-2</c:v>
                </c:pt>
                <c:pt idx="5">
                  <c:v>1.221644238478976E-2</c:v>
                </c:pt>
                <c:pt idx="6">
                  <c:v>1.4254235018648987E-2</c:v>
                </c:pt>
                <c:pt idx="7">
                  <c:v>1.6292027652508215E-2</c:v>
                </c:pt>
                <c:pt idx="8">
                  <c:v>1.832982028636744E-2</c:v>
                </c:pt>
                <c:pt idx="9">
                  <c:v>2.0367612920226666E-2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68-4D15-9369-150495CF2766}"/>
            </c:ext>
          </c:extLst>
        </c:ser>
        <c:ser>
          <c:idx val="2"/>
          <c:order val="2"/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'RLineaire R1'!$C$3:$C$27</c:f>
              <c:numCache>
                <c:formatCode>General</c:formatCode>
                <c:ptCount val="25"/>
                <c:pt idx="0" formatCode="0.0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R1'!$W$3:$W$27</c:f>
              <c:numCache>
                <c:formatCode>General</c:formatCode>
                <c:ptCount val="25"/>
                <c:pt idx="0">
                  <c:v>2.0120740156464745E-3</c:v>
                </c:pt>
                <c:pt idx="1">
                  <c:v>4.056744030822566E-3</c:v>
                </c:pt>
                <c:pt idx="2">
                  <c:v>6.1014140459986575E-3</c:v>
                </c:pt>
                <c:pt idx="3">
                  <c:v>8.1460840611747489E-3</c:v>
                </c:pt>
                <c:pt idx="4">
                  <c:v>1.019075407635084E-2</c:v>
                </c:pt>
                <c:pt idx="5">
                  <c:v>1.2235424091526932E-2</c:v>
                </c:pt>
                <c:pt idx="6">
                  <c:v>1.4280094106703023E-2</c:v>
                </c:pt>
                <c:pt idx="7">
                  <c:v>1.6324764121879116E-2</c:v>
                </c:pt>
                <c:pt idx="8">
                  <c:v>1.8369434137055204E-2</c:v>
                </c:pt>
                <c:pt idx="9">
                  <c:v>2.0414104152231299E-2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68-4D15-9369-150495CF2766}"/>
            </c:ext>
          </c:extLst>
        </c:ser>
        <c:ser>
          <c:idx val="3"/>
          <c:order val="3"/>
          <c:spPr>
            <a:ln w="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'RLineaire R1'!$C$3:$C$27</c:f>
              <c:numCache>
                <c:formatCode>General</c:formatCode>
                <c:ptCount val="25"/>
                <c:pt idx="0" formatCode="0.0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R1'!$X$3:$X$27</c:f>
              <c:numCache>
                <c:formatCode>General</c:formatCode>
                <c:ptCount val="25"/>
                <c:pt idx="0">
                  <c:v>2.0428844153407822E-3</c:v>
                </c:pt>
                <c:pt idx="1">
                  <c:v>4.0737996678831432E-3</c:v>
                </c:pt>
                <c:pt idx="2">
                  <c:v>6.1047149204255047E-3</c:v>
                </c:pt>
                <c:pt idx="3">
                  <c:v>8.1356301729678671E-3</c:v>
                </c:pt>
                <c:pt idx="4">
                  <c:v>1.0166545425510229E-2</c:v>
                </c:pt>
                <c:pt idx="5">
                  <c:v>1.219746067805259E-2</c:v>
                </c:pt>
                <c:pt idx="6">
                  <c:v>1.4228375930594951E-2</c:v>
                </c:pt>
                <c:pt idx="7">
                  <c:v>1.6259291183137313E-2</c:v>
                </c:pt>
                <c:pt idx="8">
                  <c:v>1.8290206435679676E-2</c:v>
                </c:pt>
                <c:pt idx="9">
                  <c:v>2.0321121688222036E-2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68-4D15-9369-150495CF2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3680"/>
        <c:axId val="467864992"/>
      </c:scatter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 cmpd="dbl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'RLineaire R1'!$D$3:$D$27</c:f>
                <c:numCache>
                  <c:formatCode>General</c:formatCode>
                  <c:ptCount val="25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plus>
            <c:minus>
              <c:numRef>
                <c:f>'RLineaire R1'!$D$3:$D$27</c:f>
                <c:numCache>
                  <c:formatCode>General</c:formatCode>
                  <c:ptCount val="25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'RLineaire R1'!$F$3:$F$27</c:f>
                <c:numCache>
                  <c:formatCode>General</c:formatCode>
                  <c:ptCount val="25"/>
                  <c:pt idx="0">
                    <c:v>2.0150000000000002E-5</c:v>
                  </c:pt>
                  <c:pt idx="1">
                    <c:v>3.0300000000000001E-5</c:v>
                  </c:pt>
                  <c:pt idx="2">
                    <c:v>4.0500000000000002E-5</c:v>
                  </c:pt>
                  <c:pt idx="3">
                    <c:v>5.0700000000000006E-5</c:v>
                  </c:pt>
                  <c:pt idx="4">
                    <c:v>6.0900000000000003E-5</c:v>
                  </c:pt>
                  <c:pt idx="5">
                    <c:v>7.1099999999999994E-5</c:v>
                  </c:pt>
                  <c:pt idx="6">
                    <c:v>8.1249999999999996E-5</c:v>
                  </c:pt>
                  <c:pt idx="7">
                    <c:v>9.1500000000000001E-5</c:v>
                  </c:pt>
                  <c:pt idx="8">
                    <c:v>1.0170000000000001E-4</c:v>
                  </c:pt>
                  <c:pt idx="9">
                    <c:v>3.436E-4</c:v>
                  </c:pt>
                </c:numCache>
              </c:numRef>
            </c:plus>
            <c:minus>
              <c:numRef>
                <c:f>'RLineaire R1'!$F$3:$F$27</c:f>
                <c:numCache>
                  <c:formatCode>General</c:formatCode>
                  <c:ptCount val="25"/>
                  <c:pt idx="0">
                    <c:v>2.0150000000000002E-5</c:v>
                  </c:pt>
                  <c:pt idx="1">
                    <c:v>3.0300000000000001E-5</c:v>
                  </c:pt>
                  <c:pt idx="2">
                    <c:v>4.0500000000000002E-5</c:v>
                  </c:pt>
                  <c:pt idx="3">
                    <c:v>5.0700000000000006E-5</c:v>
                  </c:pt>
                  <c:pt idx="4">
                    <c:v>6.0900000000000003E-5</c:v>
                  </c:pt>
                  <c:pt idx="5">
                    <c:v>7.1099999999999994E-5</c:v>
                  </c:pt>
                  <c:pt idx="6">
                    <c:v>8.1249999999999996E-5</c:v>
                  </c:pt>
                  <c:pt idx="7">
                    <c:v>9.1500000000000001E-5</c:v>
                  </c:pt>
                  <c:pt idx="8">
                    <c:v>1.0170000000000001E-4</c:v>
                  </c:pt>
                  <c:pt idx="9">
                    <c:v>3.436E-4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'RLineaire R1'!$C$3:$C$27</c:f>
              <c:numCache>
                <c:formatCode>General</c:formatCode>
                <c:ptCount val="25"/>
                <c:pt idx="0" formatCode="0.0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R1'!$E$3:$E$27</c:f>
              <c:numCache>
                <c:formatCode>General</c:formatCode>
                <c:ptCount val="25"/>
                <c:pt idx="0">
                  <c:v>2.0299999999999997E-3</c:v>
                </c:pt>
                <c:pt idx="1">
                  <c:v>4.0599999999999994E-3</c:v>
                </c:pt>
                <c:pt idx="2">
                  <c:v>6.0999999999999995E-3</c:v>
                </c:pt>
                <c:pt idx="3">
                  <c:v>8.1400000000000014E-3</c:v>
                </c:pt>
                <c:pt idx="4">
                  <c:v>1.018E-2</c:v>
                </c:pt>
                <c:pt idx="5">
                  <c:v>1.222E-2</c:v>
                </c:pt>
                <c:pt idx="6">
                  <c:v>1.4250000000000001E-2</c:v>
                </c:pt>
                <c:pt idx="7">
                  <c:v>1.6300000000000002E-2</c:v>
                </c:pt>
                <c:pt idx="8">
                  <c:v>1.8339999999999999E-2</c:v>
                </c:pt>
                <c:pt idx="9">
                  <c:v>2.0300000000000002E-2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68-4D15-9369-150495CF2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3680"/>
        <c:axId val="467864992"/>
      </c:scatterChart>
      <c:valAx>
        <c:axId val="46786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4992"/>
        <c:crosses val="autoZero"/>
        <c:crossBetween val="midCat"/>
      </c:valAx>
      <c:valAx>
        <c:axId val="4678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200" b="1"/>
                  <a:t>y</a:t>
                </a:r>
              </a:p>
            </c:rich>
          </c:tx>
          <c:layout>
            <c:manualLayout>
              <c:xMode val="edge"/>
              <c:yMode val="edge"/>
              <c:x val="1.2860638796961974E-2"/>
              <c:y val="0.48066491688538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Droites</a:t>
            </a:r>
            <a:r>
              <a:rPr lang="fr-CA" baseline="0"/>
              <a:t> de régression moyenne et extrêmes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'RLineaire R4'!$C$3:$C$27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R4'!$V$3:$V$27</c:f>
              <c:numCache>
                <c:formatCode>General</c:formatCode>
                <c:ptCount val="25"/>
                <c:pt idx="0">
                  <c:v>3.3290304585986799E-7</c:v>
                </c:pt>
                <c:pt idx="1">
                  <c:v>7.4336845851909777E-7</c:v>
                </c:pt>
                <c:pt idx="2">
                  <c:v>1.1538338711783276E-6</c:v>
                </c:pt>
                <c:pt idx="3">
                  <c:v>1.5642992838375572E-6</c:v>
                </c:pt>
                <c:pt idx="4">
                  <c:v>1.9747646964967869E-6</c:v>
                </c:pt>
                <c:pt idx="5">
                  <c:v>2.385230109156017E-6</c:v>
                </c:pt>
                <c:pt idx="6">
                  <c:v>2.7956955218152467E-6</c:v>
                </c:pt>
                <c:pt idx="7">
                  <c:v>3.2061609344744764E-6</c:v>
                </c:pt>
                <c:pt idx="8">
                  <c:v>3.616626347133706E-6</c:v>
                </c:pt>
                <c:pt idx="9">
                  <c:v>4.0270917597929357E-6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F-4DDC-8D62-D2EB716A67FE}"/>
            </c:ext>
          </c:extLst>
        </c:ser>
        <c:ser>
          <c:idx val="2"/>
          <c:order val="2"/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'RLineaire R4'!$C$3:$C$27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R4'!$W$3:$W$27</c:f>
              <c:numCache>
                <c:formatCode>General</c:formatCode>
                <c:ptCount val="25"/>
                <c:pt idx="0">
                  <c:v>2.7282164003798937E-7</c:v>
                </c:pt>
                <c:pt idx="1">
                  <c:v>6.9547563871138219E-7</c:v>
                </c:pt>
                <c:pt idx="2">
                  <c:v>1.1181296373847751E-6</c:v>
                </c:pt>
                <c:pt idx="3">
                  <c:v>1.5407836360581679E-6</c:v>
                </c:pt>
                <c:pt idx="4">
                  <c:v>1.9634376347315608E-6</c:v>
                </c:pt>
                <c:pt idx="5">
                  <c:v>2.3860916334049537E-6</c:v>
                </c:pt>
                <c:pt idx="6">
                  <c:v>2.8087456320783466E-6</c:v>
                </c:pt>
                <c:pt idx="7">
                  <c:v>3.2313996307517394E-6</c:v>
                </c:pt>
                <c:pt idx="8">
                  <c:v>3.6540536294251323E-6</c:v>
                </c:pt>
                <c:pt idx="9">
                  <c:v>4.0767076280985256E-6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F-4DDC-8D62-D2EB716A67FE}"/>
            </c:ext>
          </c:extLst>
        </c:ser>
        <c:ser>
          <c:idx val="3"/>
          <c:order val="3"/>
          <c:spPr>
            <a:ln w="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'RLineaire R4'!$C$3:$C$27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R4'!$X$3:$X$27</c:f>
              <c:numCache>
                <c:formatCode>General</c:formatCode>
                <c:ptCount val="25"/>
                <c:pt idx="0">
                  <c:v>3.9298445168174655E-7</c:v>
                </c:pt>
                <c:pt idx="1">
                  <c:v>7.9126127832681325E-7</c:v>
                </c:pt>
                <c:pt idx="2">
                  <c:v>1.18953810497188E-6</c:v>
                </c:pt>
                <c:pt idx="3">
                  <c:v>1.5878149316169465E-6</c:v>
                </c:pt>
                <c:pt idx="4">
                  <c:v>1.9860917582620134E-6</c:v>
                </c:pt>
                <c:pt idx="5">
                  <c:v>2.3843685849070799E-6</c:v>
                </c:pt>
                <c:pt idx="6">
                  <c:v>2.7826454115521464E-6</c:v>
                </c:pt>
                <c:pt idx="7">
                  <c:v>3.1809222381972133E-6</c:v>
                </c:pt>
                <c:pt idx="8">
                  <c:v>3.5791990648422802E-6</c:v>
                </c:pt>
                <c:pt idx="9">
                  <c:v>3.9774758914873475E-6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2F-4DDC-8D62-D2EB716A6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3680"/>
        <c:axId val="467864992"/>
      </c:scatter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 cmpd="dbl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'RLineaire R4'!$D$3:$D$27</c:f>
                <c:numCache>
                  <c:formatCode>General</c:formatCode>
                  <c:ptCount val="25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plus>
            <c:minus>
              <c:numRef>
                <c:f>'RLineaire R4'!$D$3:$D$27</c:f>
                <c:numCache>
                  <c:formatCode>General</c:formatCode>
                  <c:ptCount val="25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'RLineaire R4'!$F$3:$F$27</c:f>
                <c:numCache>
                  <c:formatCode>General</c:formatCode>
                  <c:ptCount val="25"/>
                  <c:pt idx="0">
                    <c:v>1.015E-7</c:v>
                  </c:pt>
                  <c:pt idx="1">
                    <c:v>1.0350000000000001E-7</c:v>
                  </c:pt>
                  <c:pt idx="2">
                    <c:v>1.0600000000000001E-7</c:v>
                  </c:pt>
                  <c:pt idx="3">
                    <c:v>1.0800000000000001E-7</c:v>
                  </c:pt>
                  <c:pt idx="4">
                    <c:v>1.1000000000000001E-7</c:v>
                  </c:pt>
                  <c:pt idx="5">
                    <c:v>1.12E-7</c:v>
                  </c:pt>
                  <c:pt idx="6">
                    <c:v>1.14E-7</c:v>
                  </c:pt>
                  <c:pt idx="7">
                    <c:v>1.1600000000000001E-7</c:v>
                  </c:pt>
                  <c:pt idx="8">
                    <c:v>1.1800000000000001E-7</c:v>
                  </c:pt>
                  <c:pt idx="9">
                    <c:v>1.2000000000000002E-7</c:v>
                  </c:pt>
                </c:numCache>
              </c:numRef>
            </c:plus>
            <c:minus>
              <c:numRef>
                <c:f>'RLineaire R4'!$F$3:$F$27</c:f>
                <c:numCache>
                  <c:formatCode>General</c:formatCode>
                  <c:ptCount val="25"/>
                  <c:pt idx="0">
                    <c:v>1.015E-7</c:v>
                  </c:pt>
                  <c:pt idx="1">
                    <c:v>1.0350000000000001E-7</c:v>
                  </c:pt>
                  <c:pt idx="2">
                    <c:v>1.0600000000000001E-7</c:v>
                  </c:pt>
                  <c:pt idx="3">
                    <c:v>1.0800000000000001E-7</c:v>
                  </c:pt>
                  <c:pt idx="4">
                    <c:v>1.1000000000000001E-7</c:v>
                  </c:pt>
                  <c:pt idx="5">
                    <c:v>1.12E-7</c:v>
                  </c:pt>
                  <c:pt idx="6">
                    <c:v>1.14E-7</c:v>
                  </c:pt>
                  <c:pt idx="7">
                    <c:v>1.1600000000000001E-7</c:v>
                  </c:pt>
                  <c:pt idx="8">
                    <c:v>1.1800000000000001E-7</c:v>
                  </c:pt>
                  <c:pt idx="9">
                    <c:v>1.2000000000000002E-7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'RLineaire R4'!$C$3:$C$27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'RLineaire R4'!$E$3:$E$27</c:f>
              <c:numCache>
                <c:formatCode>General</c:formatCode>
                <c:ptCount val="25"/>
                <c:pt idx="0">
                  <c:v>2.9999999999999999E-7</c:v>
                </c:pt>
                <c:pt idx="1">
                  <c:v>6.9999999999999997E-7</c:v>
                </c:pt>
                <c:pt idx="2">
                  <c:v>1.1999999999999999E-6</c:v>
                </c:pt>
                <c:pt idx="3">
                  <c:v>1.6000000000000001E-6</c:v>
                </c:pt>
                <c:pt idx="4">
                  <c:v>1.9999999999999999E-6</c:v>
                </c:pt>
                <c:pt idx="5">
                  <c:v>2.3999999999999999E-6</c:v>
                </c:pt>
                <c:pt idx="6">
                  <c:v>2.7999999999999999E-6</c:v>
                </c:pt>
                <c:pt idx="7">
                  <c:v>3.2000000000000003E-6</c:v>
                </c:pt>
                <c:pt idx="8">
                  <c:v>3.6000000000000003E-6</c:v>
                </c:pt>
                <c:pt idx="9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2F-4DDC-8D62-D2EB716A6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3680"/>
        <c:axId val="467864992"/>
      </c:scatterChart>
      <c:valAx>
        <c:axId val="46786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4992"/>
        <c:crosses val="autoZero"/>
        <c:crossBetween val="midCat"/>
      </c:valAx>
      <c:valAx>
        <c:axId val="4678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200" b="1"/>
                  <a:t>y</a:t>
                </a:r>
              </a:p>
            </c:rich>
          </c:tx>
          <c:layout>
            <c:manualLayout>
              <c:xMode val="edge"/>
              <c:yMode val="edge"/>
              <c:x val="1.2860638796961974E-2"/>
              <c:y val="0.48066491688538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Graphique 1 : Intensité du courant traversant la résistance 1 en fonction de la tension aux bornes de celle-ci.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cust"/>
            <c:noEndCap val="0"/>
            <c:plus>
              <c:numRef>
                <c:f>'Tableaux et calculs'!$C$5:$C$14</c:f>
                <c:numCache>
                  <c:formatCode>General</c:formatCode>
                  <c:ptCount val="10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plus>
            <c:minus>
              <c:numRef>
                <c:f>'Tableaux et calculs'!$C$5:$C$14</c:f>
                <c:numCache>
                  <c:formatCode>General</c:formatCode>
                  <c:ptCount val="10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'Tableaux et calculs'!$C$20:$C$29</c:f>
                <c:numCache>
                  <c:formatCode>General</c:formatCode>
                  <c:ptCount val="10"/>
                  <c:pt idx="0">
                    <c:v>2.0150000000000002E-5</c:v>
                  </c:pt>
                  <c:pt idx="1">
                    <c:v>3.0300000000000001E-5</c:v>
                  </c:pt>
                  <c:pt idx="2">
                    <c:v>4.0500000000000002E-5</c:v>
                  </c:pt>
                  <c:pt idx="3">
                    <c:v>5.0700000000000006E-5</c:v>
                  </c:pt>
                  <c:pt idx="4">
                    <c:v>6.0900000000000003E-5</c:v>
                  </c:pt>
                  <c:pt idx="5">
                    <c:v>7.1099999999999994E-5</c:v>
                  </c:pt>
                  <c:pt idx="6">
                    <c:v>8.1249999999999996E-5</c:v>
                  </c:pt>
                  <c:pt idx="7">
                    <c:v>9.1500000000000001E-5</c:v>
                  </c:pt>
                  <c:pt idx="8">
                    <c:v>1.0170000000000001E-4</c:v>
                  </c:pt>
                  <c:pt idx="9">
                    <c:v>3.436E-4</c:v>
                  </c:pt>
                </c:numCache>
              </c:numRef>
            </c:plus>
            <c:minus>
              <c:numRef>
                <c:f>'Tableaux et calculs'!$C$20:$C$29</c:f>
                <c:numCache>
                  <c:formatCode>General</c:formatCode>
                  <c:ptCount val="10"/>
                  <c:pt idx="0">
                    <c:v>2.0150000000000002E-5</c:v>
                  </c:pt>
                  <c:pt idx="1">
                    <c:v>3.0300000000000001E-5</c:v>
                  </c:pt>
                  <c:pt idx="2">
                    <c:v>4.0500000000000002E-5</c:v>
                  </c:pt>
                  <c:pt idx="3">
                    <c:v>5.0700000000000006E-5</c:v>
                  </c:pt>
                  <c:pt idx="4">
                    <c:v>6.0900000000000003E-5</c:v>
                  </c:pt>
                  <c:pt idx="5">
                    <c:v>7.1099999999999994E-5</c:v>
                  </c:pt>
                  <c:pt idx="6">
                    <c:v>8.1249999999999996E-5</c:v>
                  </c:pt>
                  <c:pt idx="7">
                    <c:v>9.1500000000000001E-5</c:v>
                  </c:pt>
                  <c:pt idx="8">
                    <c:v>1.0170000000000001E-4</c:v>
                  </c:pt>
                  <c:pt idx="9">
                    <c:v>3.436E-4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'Tableaux et calculs'!$B$5:$B$14</c:f>
              <c:numCache>
                <c:formatCode>0\.000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 formatCode="0.00">
                  <c:v>8</c:v>
                </c:pt>
                <c:pt idx="4" formatCode="0.00">
                  <c:v>10</c:v>
                </c:pt>
                <c:pt idx="5" formatCode="0.00">
                  <c:v>12</c:v>
                </c:pt>
                <c:pt idx="6" formatCode="0.00">
                  <c:v>14</c:v>
                </c:pt>
                <c:pt idx="7" formatCode="0.00">
                  <c:v>16</c:v>
                </c:pt>
                <c:pt idx="8" formatCode="0.00">
                  <c:v>18</c:v>
                </c:pt>
                <c:pt idx="9" formatCode="0.00">
                  <c:v>20</c:v>
                </c:pt>
              </c:numCache>
            </c:numRef>
          </c:xVal>
          <c:yVal>
            <c:numRef>
              <c:f>'Tableaux et calculs'!$B$20:$B$29</c:f>
              <c:numCache>
                <c:formatCode>0.00000</c:formatCode>
                <c:ptCount val="10"/>
                <c:pt idx="0">
                  <c:v>2.0299999999999997E-3</c:v>
                </c:pt>
                <c:pt idx="1">
                  <c:v>4.0599999999999994E-3</c:v>
                </c:pt>
                <c:pt idx="2">
                  <c:v>6.0999999999999995E-3</c:v>
                </c:pt>
                <c:pt idx="3">
                  <c:v>8.1400000000000014E-3</c:v>
                </c:pt>
                <c:pt idx="4">
                  <c:v>1.018E-2</c:v>
                </c:pt>
                <c:pt idx="5">
                  <c:v>1.222E-2</c:v>
                </c:pt>
                <c:pt idx="6">
                  <c:v>1.4250000000000001E-2</c:v>
                </c:pt>
                <c:pt idx="7">
                  <c:v>1.6300000000000002E-2</c:v>
                </c:pt>
                <c:pt idx="8" formatCode="0.0000">
                  <c:v>1.8339999999999999E-2</c:v>
                </c:pt>
                <c:pt idx="9" formatCode="0.0000">
                  <c:v>2.0300000000000002E-2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4-449B-AF0E-1CDD125662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8914277323668023E-2"/>
                  <c:y val="0.1077645748826851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I = 0,001019</a:t>
                    </a:r>
                    <a:r>
                      <a:rPr lang="el-GR" baseline="0">
                        <a:latin typeface="Aptos Narrow" panose="020B0004020202020204" pitchFamily="34" charset="0"/>
                      </a:rPr>
                      <a:t>Δ</a:t>
                    </a:r>
                    <a:r>
                      <a:rPr lang="fr-CA" baseline="0">
                        <a:latin typeface="Aptos Narrow" panose="020B0004020202020204" pitchFamily="34" charset="0"/>
                      </a:rPr>
                      <a:t>V</a:t>
                    </a:r>
                    <a:r>
                      <a:rPr lang="en-US" baseline="0"/>
                      <a:t> - 0,00001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'Tableaux et calculs'!$Q$39:$Q$40</c:f>
              <c:numCache>
                <c:formatCode>0.00</c:formatCode>
                <c:ptCount val="2"/>
                <c:pt idx="0" formatCode="0\.000">
                  <c:v>2</c:v>
                </c:pt>
                <c:pt idx="1">
                  <c:v>20</c:v>
                </c:pt>
              </c:numCache>
            </c:numRef>
          </c:xVal>
          <c:yVal>
            <c:numRef>
              <c:f>'Tableaux et calculs'!$R$39:$R$40</c:f>
              <c:numCache>
                <c:formatCode>0\.0000</c:formatCode>
                <c:ptCount val="2"/>
                <c:pt idx="0" formatCode="0\.00000">
                  <c:v>2.0274792154936282E-3</c:v>
                </c:pt>
                <c:pt idx="1">
                  <c:v>2.0367612920226666E-2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4-449B-AF0E-1CDD12566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6543"/>
        <c:axId val="261376847"/>
      </c:scatterChart>
      <c:valAx>
        <c:axId val="1016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Δ</a:t>
                </a:r>
                <a:r>
                  <a:rPr lang="fr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V (V)</a:t>
                </a:r>
                <a:endParaRPr lang="en-CA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76847"/>
        <c:crosses val="autoZero"/>
        <c:crossBetween val="midCat"/>
      </c:valAx>
      <c:valAx>
        <c:axId val="26137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</a:t>
                </a:r>
                <a:r>
                  <a:rPr lang="en-CA" baseline="0"/>
                  <a:t> (A)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Graphique 2 : Intensité du courant traversant la résistance 4 en fonction de la tension aux bornes de celle-ci.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cust"/>
            <c:noEndCap val="0"/>
            <c:plus>
              <c:numRef>
                <c:f>'Tableaux et calculs'!$J$5:$J$14</c:f>
                <c:numCache>
                  <c:formatCode>General</c:formatCode>
                  <c:ptCount val="10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plus>
            <c:minus>
              <c:numRef>
                <c:f>'Tableaux et calculs'!$J$5:$J$14</c:f>
                <c:numCache>
                  <c:formatCode>General</c:formatCode>
                  <c:ptCount val="10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'Tableaux et calculs'!$G$20:$G$29</c:f>
                <c:numCache>
                  <c:formatCode>General</c:formatCode>
                  <c:ptCount val="10"/>
                  <c:pt idx="0">
                    <c:v>1.015E-7</c:v>
                  </c:pt>
                  <c:pt idx="1">
                    <c:v>1.0350000000000001E-7</c:v>
                  </c:pt>
                  <c:pt idx="2">
                    <c:v>1.0600000000000001E-7</c:v>
                  </c:pt>
                  <c:pt idx="3">
                    <c:v>1.0800000000000001E-7</c:v>
                  </c:pt>
                  <c:pt idx="4">
                    <c:v>1.1000000000000001E-7</c:v>
                  </c:pt>
                  <c:pt idx="5">
                    <c:v>1.12E-7</c:v>
                  </c:pt>
                  <c:pt idx="6">
                    <c:v>1.14E-7</c:v>
                  </c:pt>
                  <c:pt idx="7">
                    <c:v>1.1600000000000001E-7</c:v>
                  </c:pt>
                  <c:pt idx="8">
                    <c:v>1.1800000000000001E-7</c:v>
                  </c:pt>
                  <c:pt idx="9">
                    <c:v>1.2000000000000002E-7</c:v>
                  </c:pt>
                </c:numCache>
              </c:numRef>
            </c:plus>
            <c:minus>
              <c:numRef>
                <c:f>'Tableaux et calculs'!$G$20:$G$29</c:f>
                <c:numCache>
                  <c:formatCode>General</c:formatCode>
                  <c:ptCount val="10"/>
                  <c:pt idx="0">
                    <c:v>1.015E-7</c:v>
                  </c:pt>
                  <c:pt idx="1">
                    <c:v>1.0350000000000001E-7</c:v>
                  </c:pt>
                  <c:pt idx="2">
                    <c:v>1.0600000000000001E-7</c:v>
                  </c:pt>
                  <c:pt idx="3">
                    <c:v>1.0800000000000001E-7</c:v>
                  </c:pt>
                  <c:pt idx="4">
                    <c:v>1.1000000000000001E-7</c:v>
                  </c:pt>
                  <c:pt idx="5">
                    <c:v>1.12E-7</c:v>
                  </c:pt>
                  <c:pt idx="6">
                    <c:v>1.14E-7</c:v>
                  </c:pt>
                  <c:pt idx="7">
                    <c:v>1.1600000000000001E-7</c:v>
                  </c:pt>
                  <c:pt idx="8">
                    <c:v>1.1800000000000001E-7</c:v>
                  </c:pt>
                  <c:pt idx="9">
                    <c:v>1.2000000000000002E-7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'Tableaux et calculs'!$I$5:$I$14</c:f>
              <c:numCache>
                <c:formatCode>0\.000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 formatCode="0.00">
                  <c:v>8</c:v>
                </c:pt>
                <c:pt idx="4" formatCode="0.00">
                  <c:v>10</c:v>
                </c:pt>
                <c:pt idx="5" formatCode="0.00">
                  <c:v>12</c:v>
                </c:pt>
                <c:pt idx="6" formatCode="0.00">
                  <c:v>14</c:v>
                </c:pt>
                <c:pt idx="7" formatCode="0.00">
                  <c:v>16</c:v>
                </c:pt>
                <c:pt idx="8" formatCode="0.00">
                  <c:v>18</c:v>
                </c:pt>
                <c:pt idx="9" formatCode="0.00">
                  <c:v>20</c:v>
                </c:pt>
              </c:numCache>
            </c:numRef>
          </c:xVal>
          <c:yVal>
            <c:numRef>
              <c:f>'Tableaux et calculs'!$F$20:$F$29</c:f>
              <c:numCache>
                <c:formatCode>0.0000000</c:formatCode>
                <c:ptCount val="10"/>
                <c:pt idx="0">
                  <c:v>2.9999999999999999E-7</c:v>
                </c:pt>
                <c:pt idx="1">
                  <c:v>6.9999999999999997E-7</c:v>
                </c:pt>
                <c:pt idx="2">
                  <c:v>1.1999999999999999E-6</c:v>
                </c:pt>
                <c:pt idx="3">
                  <c:v>1.6000000000000001E-6</c:v>
                </c:pt>
                <c:pt idx="4">
                  <c:v>1.9999999999999999E-6</c:v>
                </c:pt>
                <c:pt idx="5">
                  <c:v>2.3999999999999999E-6</c:v>
                </c:pt>
                <c:pt idx="6">
                  <c:v>2.7999999999999999E-6</c:v>
                </c:pt>
                <c:pt idx="7">
                  <c:v>3.2000000000000003E-6</c:v>
                </c:pt>
                <c:pt idx="8">
                  <c:v>3.6000000000000003E-6</c:v>
                </c:pt>
                <c:pt idx="9">
                  <c:v>3.9999999999999998E-6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9-48FE-AD5A-EEA88B526F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501954867151116E-2"/>
                  <c:y val="0.1477664837349876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I = 0,0205E-05</a:t>
                    </a:r>
                    <a:r>
                      <a:rPr lang="el-GR" baseline="0">
                        <a:latin typeface="Aptos Narrow" panose="020B0004020202020204" pitchFamily="34" charset="0"/>
                      </a:rPr>
                      <a:t>Δ</a:t>
                    </a:r>
                    <a:r>
                      <a:rPr lang="fr-CA" baseline="0">
                        <a:latin typeface="Aptos Narrow" panose="020B0004020202020204" pitchFamily="34" charset="0"/>
                      </a:rPr>
                      <a:t>V</a:t>
                    </a:r>
                    <a:r>
                      <a:rPr lang="en-US" baseline="0"/>
                      <a:t> - 0,008E-05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'Tableaux et calculs'!$T$39:$T$40</c:f>
              <c:numCache>
                <c:formatCode>0.00</c:formatCode>
                <c:ptCount val="2"/>
                <c:pt idx="0" formatCode="0\.000">
                  <c:v>2</c:v>
                </c:pt>
                <c:pt idx="1">
                  <c:v>20</c:v>
                </c:pt>
              </c:numCache>
            </c:numRef>
          </c:xVal>
          <c:yVal>
            <c:numRef>
              <c:f>'Tableaux et calculs'!$U$39:$U$40</c:f>
              <c:numCache>
                <c:formatCode>0\.0000000</c:formatCode>
                <c:ptCount val="2"/>
                <c:pt idx="0">
                  <c:v>3.3290304585986794E-7</c:v>
                </c:pt>
                <c:pt idx="1">
                  <c:v>4.0270917597929357E-6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D9-48FE-AD5A-EEA88B52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059631"/>
        <c:axId val="449060591"/>
      </c:scatterChart>
      <c:valAx>
        <c:axId val="44905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Δ</a:t>
                </a:r>
                <a:r>
                  <a:rPr lang="fr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V (V)</a:t>
                </a:r>
                <a:endParaRPr lang="en-CA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60591"/>
        <c:crosses val="autoZero"/>
        <c:crossBetween val="midCat"/>
      </c:valAx>
      <c:valAx>
        <c:axId val="4490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5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Graphique</a:t>
            </a:r>
            <a:r>
              <a:rPr lang="en-CA" baseline="0"/>
              <a:t> 3 : Intensité du courant traversant l'ampoule en fonction de la tension aux bornes de celle-ci.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5101462736315323E-3"/>
                  <c:y val="9.10089875129244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I = 0,005</a:t>
                    </a:r>
                    <a:r>
                      <a:rPr lang="el-GR" baseline="0">
                        <a:latin typeface="Aptos Narrow" panose="020B0004020202020204" pitchFamily="34" charset="0"/>
                      </a:rPr>
                      <a:t>Δ</a:t>
                    </a:r>
                    <a:r>
                      <a:rPr lang="fr-CA" baseline="0">
                        <a:latin typeface="Aptos Narrow" panose="020B0004020202020204" pitchFamily="34" charset="0"/>
                      </a:rPr>
                      <a:t>V</a:t>
                    </a:r>
                    <a:r>
                      <a:rPr lang="en-US" baseline="30000"/>
                      <a:t>0,605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'Tableaux et calculs'!$Q$5:$Q$19</c:f>
                <c:numCache>
                  <c:formatCode>General</c:formatCode>
                  <c:ptCount val="15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  <c:pt idx="10">
                    <c:v>5.1999999999999998E-2</c:v>
                  </c:pt>
                  <c:pt idx="11">
                    <c:v>5.3999999999999999E-2</c:v>
                  </c:pt>
                  <c:pt idx="12">
                    <c:v>5.6000000000000001E-2</c:v>
                  </c:pt>
                  <c:pt idx="13">
                    <c:v>5.7999999999999996E-2</c:v>
                  </c:pt>
                  <c:pt idx="14">
                    <c:v>0.06</c:v>
                  </c:pt>
                </c:numCache>
              </c:numRef>
            </c:plus>
            <c:minus>
              <c:numRef>
                <c:f>'Tableaux et calculs'!$Q$5:$Q$19</c:f>
                <c:numCache>
                  <c:formatCode>General</c:formatCode>
                  <c:ptCount val="15"/>
                  <c:pt idx="0">
                    <c:v>5.0000000000000001E-3</c:v>
                  </c:pt>
                  <c:pt idx="1">
                    <c:v>7.0000000000000001E-3</c:v>
                  </c:pt>
                  <c:pt idx="2">
                    <c:v>9.0000000000000011E-3</c:v>
                  </c:pt>
                  <c:pt idx="3">
                    <c:v>1.0999999999999999E-2</c:v>
                  </c:pt>
                  <c:pt idx="4">
                    <c:v>1.3000000000000001E-2</c:v>
                  </c:pt>
                  <c:pt idx="5">
                    <c:v>1.4999999999999999E-2</c:v>
                  </c:pt>
                  <c:pt idx="6">
                    <c:v>1.7000000000000001E-2</c:v>
                  </c:pt>
                  <c:pt idx="7">
                    <c:v>1.9E-2</c:v>
                  </c:pt>
                  <c:pt idx="8">
                    <c:v>2.1000000000000001E-2</c:v>
                  </c:pt>
                  <c:pt idx="9">
                    <c:v>0.05</c:v>
                  </c:pt>
                  <c:pt idx="10">
                    <c:v>5.1999999999999998E-2</c:v>
                  </c:pt>
                  <c:pt idx="11">
                    <c:v>5.3999999999999999E-2</c:v>
                  </c:pt>
                  <c:pt idx="12">
                    <c:v>5.6000000000000001E-2</c:v>
                  </c:pt>
                  <c:pt idx="13">
                    <c:v>5.7999999999999996E-2</c:v>
                  </c:pt>
                  <c:pt idx="14">
                    <c:v>0.06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'Tableaux et calculs'!$K$20:$K$34</c:f>
                <c:numCache>
                  <c:formatCode>General</c:formatCode>
                  <c:ptCount val="15"/>
                  <c:pt idx="0">
                    <c:v>4.7750000000000002E-5</c:v>
                  </c:pt>
                  <c:pt idx="1">
                    <c:v>6.7099999999999991E-5</c:v>
                  </c:pt>
                  <c:pt idx="2">
                    <c:v>8.3250000000000004E-5</c:v>
                  </c:pt>
                  <c:pt idx="3">
                    <c:v>9.7399999999999996E-5</c:v>
                  </c:pt>
                  <c:pt idx="4">
                    <c:v>3.388E-4</c:v>
                  </c:pt>
                  <c:pt idx="5">
                    <c:v>3.6760000000000004E-4</c:v>
                  </c:pt>
                  <c:pt idx="6">
                    <c:v>3.9400000000000004E-4</c:v>
                  </c:pt>
                  <c:pt idx="7">
                    <c:v>4.1800000000000002E-4</c:v>
                  </c:pt>
                  <c:pt idx="8">
                    <c:v>4.4079999999999998E-4</c:v>
                  </c:pt>
                  <c:pt idx="9">
                    <c:v>4.6479999999999997E-4</c:v>
                  </c:pt>
                  <c:pt idx="10">
                    <c:v>4.8640000000000006E-4</c:v>
                  </c:pt>
                  <c:pt idx="11">
                    <c:v>5.0680000000000007E-4</c:v>
                  </c:pt>
                  <c:pt idx="12">
                    <c:v>5.2720000000000002E-4</c:v>
                  </c:pt>
                  <c:pt idx="13">
                    <c:v>5.4639999999999995E-4</c:v>
                  </c:pt>
                  <c:pt idx="14">
                    <c:v>5.6440000000000006E-4</c:v>
                  </c:pt>
                </c:numCache>
              </c:numRef>
            </c:plus>
            <c:minus>
              <c:numRef>
                <c:f>'Tableaux et calculs'!$K$20:$K$34</c:f>
                <c:numCache>
                  <c:formatCode>General</c:formatCode>
                  <c:ptCount val="15"/>
                  <c:pt idx="0">
                    <c:v>4.7750000000000002E-5</c:v>
                  </c:pt>
                  <c:pt idx="1">
                    <c:v>6.7099999999999991E-5</c:v>
                  </c:pt>
                  <c:pt idx="2">
                    <c:v>8.3250000000000004E-5</c:v>
                  </c:pt>
                  <c:pt idx="3">
                    <c:v>9.7399999999999996E-5</c:v>
                  </c:pt>
                  <c:pt idx="4">
                    <c:v>3.388E-4</c:v>
                  </c:pt>
                  <c:pt idx="5">
                    <c:v>3.6760000000000004E-4</c:v>
                  </c:pt>
                  <c:pt idx="6">
                    <c:v>3.9400000000000004E-4</c:v>
                  </c:pt>
                  <c:pt idx="7">
                    <c:v>4.1800000000000002E-4</c:v>
                  </c:pt>
                  <c:pt idx="8">
                    <c:v>4.4079999999999998E-4</c:v>
                  </c:pt>
                  <c:pt idx="9">
                    <c:v>4.6479999999999997E-4</c:v>
                  </c:pt>
                  <c:pt idx="10">
                    <c:v>4.8640000000000006E-4</c:v>
                  </c:pt>
                  <c:pt idx="11">
                    <c:v>5.0680000000000007E-4</c:v>
                  </c:pt>
                  <c:pt idx="12">
                    <c:v>5.2720000000000002E-4</c:v>
                  </c:pt>
                  <c:pt idx="13">
                    <c:v>5.4639999999999995E-4</c:v>
                  </c:pt>
                  <c:pt idx="14">
                    <c:v>5.6440000000000006E-4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'Tableaux et calculs'!$P$5:$P$19</c:f>
              <c:numCache>
                <c:formatCode>0.000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 formatCode="0.00">
                  <c:v>8</c:v>
                </c:pt>
                <c:pt idx="4" formatCode="0.00">
                  <c:v>10</c:v>
                </c:pt>
                <c:pt idx="5" formatCode="0.00">
                  <c:v>12</c:v>
                </c:pt>
                <c:pt idx="6" formatCode="0.00">
                  <c:v>14</c:v>
                </c:pt>
                <c:pt idx="7" formatCode="0.00">
                  <c:v>16</c:v>
                </c:pt>
                <c:pt idx="8" formatCode="0.00">
                  <c:v>18</c:v>
                </c:pt>
                <c:pt idx="9" formatCode="0.00">
                  <c:v>20</c:v>
                </c:pt>
                <c:pt idx="10" formatCode="0.00">
                  <c:v>22</c:v>
                </c:pt>
                <c:pt idx="11" formatCode="0.00">
                  <c:v>24</c:v>
                </c:pt>
                <c:pt idx="12" formatCode="0.00">
                  <c:v>26</c:v>
                </c:pt>
                <c:pt idx="13" formatCode="0.00">
                  <c:v>28</c:v>
                </c:pt>
                <c:pt idx="14" formatCode="0.00">
                  <c:v>30</c:v>
                </c:pt>
              </c:numCache>
            </c:numRef>
          </c:xVal>
          <c:yVal>
            <c:numRef>
              <c:f>'Tableaux et calculs'!$J$20:$J$34</c:f>
              <c:numCache>
                <c:formatCode>General</c:formatCode>
                <c:ptCount val="15"/>
                <c:pt idx="0">
                  <c:v>7.5499999999999994E-3</c:v>
                </c:pt>
                <c:pt idx="1">
                  <c:v>1.142E-2</c:v>
                </c:pt>
                <c:pt idx="2">
                  <c:v>1.465E-2</c:v>
                </c:pt>
                <c:pt idx="3" formatCode="0.0000">
                  <c:v>1.7479999999999999E-2</c:v>
                </c:pt>
                <c:pt idx="4">
                  <c:v>1.9899999999999998E-2</c:v>
                </c:pt>
                <c:pt idx="5">
                  <c:v>2.23E-2</c:v>
                </c:pt>
                <c:pt idx="6">
                  <c:v>2.4500000000000001E-2</c:v>
                </c:pt>
                <c:pt idx="7">
                  <c:v>2.6499999999999999E-2</c:v>
                </c:pt>
                <c:pt idx="8">
                  <c:v>2.8399999999999998E-2</c:v>
                </c:pt>
                <c:pt idx="9">
                  <c:v>3.04E-2</c:v>
                </c:pt>
                <c:pt idx="10">
                  <c:v>3.2199999999999999E-2</c:v>
                </c:pt>
                <c:pt idx="11">
                  <c:v>3.39E-2</c:v>
                </c:pt>
                <c:pt idx="12">
                  <c:v>3.56E-2</c:v>
                </c:pt>
                <c:pt idx="13">
                  <c:v>3.7200000000000004E-2</c:v>
                </c:pt>
                <c:pt idx="14">
                  <c:v>3.8700000000000005E-2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F-4CF1-A1BB-51E17A7A7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88495"/>
        <c:axId val="267595215"/>
      </c:scatterChart>
      <c:valAx>
        <c:axId val="26758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Δ</a:t>
                </a:r>
                <a:r>
                  <a:rPr lang="fr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V (V)</a:t>
                </a:r>
                <a:endParaRPr lang="en-CA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95215"/>
        <c:crosses val="autoZero"/>
        <c:crossBetween val="midCat"/>
      </c:valAx>
      <c:valAx>
        <c:axId val="26759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>
                    <a:latin typeface="Aptos Narrow" panose="020B0004020202020204" pitchFamily="34" charset="0"/>
                  </a:rPr>
                  <a:t>I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8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47A4F4-825D-47C6-A12F-4F811CF60158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91BE2B-7D26-4402-82AE-75DE796601CA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275B3C-DEA6-4AFC-9412-4816AAD7641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388508</xdr:colOff>
      <xdr:row>0</xdr:row>
      <xdr:rowOff>177912</xdr:rowOff>
    </xdr:from>
    <xdr:to>
      <xdr:col>28</xdr:col>
      <xdr:colOff>106680</xdr:colOff>
      <xdr:row>27</xdr:row>
      <xdr:rowOff>15240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5B6635-B33F-4858-88FC-2FD0161FE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63500</xdr:colOff>
      <xdr:row>10</xdr:row>
      <xdr:rowOff>18562</xdr:rowOff>
    </xdr:from>
    <xdr:ext cx="835269" cy="42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6">
              <a:extLst>
                <a:ext uri="{FF2B5EF4-FFF2-40B4-BE49-F238E27FC236}">
                  <a16:creationId xmlns:a16="http://schemas.microsoft.com/office/drawing/2014/main" id="{7193CF66-B267-4826-BF18-D40C55FDB83A}"/>
                </a:ext>
              </a:extLst>
            </xdr:cNvPr>
            <xdr:cNvSpPr txBox="1"/>
          </xdr:nvSpPr>
          <xdr:spPr>
            <a:xfrm>
              <a:off x="8620760" y="1908322"/>
              <a:ext cx="835269" cy="42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" name="TextBox 6">
              <a:extLst>
                <a:ext uri="{FF2B5EF4-FFF2-40B4-BE49-F238E27FC236}">
                  <a16:creationId xmlns:a16="http://schemas.microsoft.com/office/drawing/2014/main" id="{7193CF66-B267-4826-BF18-D40C55FDB83A}"/>
                </a:ext>
              </a:extLst>
            </xdr:cNvPr>
            <xdr:cNvSpPr txBox="1"/>
          </xdr:nvSpPr>
          <xdr:spPr>
            <a:xfrm>
              <a:off x="8620760" y="1908322"/>
              <a:ext cx="835269" cy="42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𝑦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𝑁+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𝑦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𝑦</a:t>
              </a:r>
              <a:r>
                <a:rPr lang="en-US" sz="1100" b="0" i="0" kern="1200">
                  <a:latin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𝑁−𝑦_1 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15</xdr:col>
      <xdr:colOff>47872</xdr:colOff>
      <xdr:row>10</xdr:row>
      <xdr:rowOff>21491</xdr:rowOff>
    </xdr:from>
    <xdr:ext cx="736600" cy="3888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7">
              <a:extLst>
                <a:ext uri="{FF2B5EF4-FFF2-40B4-BE49-F238E27FC236}">
                  <a16:creationId xmlns:a16="http://schemas.microsoft.com/office/drawing/2014/main" id="{652A32B1-6244-4C10-81B3-93E738EFBFD9}"/>
                </a:ext>
              </a:extLst>
            </xdr:cNvPr>
            <xdr:cNvSpPr txBox="1"/>
          </xdr:nvSpPr>
          <xdr:spPr>
            <a:xfrm>
              <a:off x="9504292" y="1911251"/>
              <a:ext cx="736600" cy="388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" name="TextBox 7">
              <a:extLst>
                <a:ext uri="{FF2B5EF4-FFF2-40B4-BE49-F238E27FC236}">
                  <a16:creationId xmlns:a16="http://schemas.microsoft.com/office/drawing/2014/main" id="{652A32B1-6244-4C10-81B3-93E738EFBFD9}"/>
                </a:ext>
              </a:extLst>
            </xdr:cNvPr>
            <xdr:cNvSpPr txBox="1"/>
          </xdr:nvSpPr>
          <xdr:spPr>
            <a:xfrm>
              <a:off x="9504292" y="1911251"/>
              <a:ext cx="736600" cy="388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𝑁+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𝑁−𝑥_1 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14</xdr:col>
      <xdr:colOff>635000</xdr:colOff>
      <xdr:row>13</xdr:row>
      <xdr:rowOff>33215</xdr:rowOff>
    </xdr:from>
    <xdr:ext cx="546100" cy="393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A50B314-5112-49F4-B91F-267A7BE9B1EC}"/>
                </a:ext>
              </a:extLst>
            </xdr:cNvPr>
            <xdr:cNvSpPr txBox="1"/>
          </xdr:nvSpPr>
          <xdr:spPr>
            <a:xfrm>
              <a:off x="9192260" y="2471615"/>
              <a:ext cx="546100" cy="393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fr-CA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lang="fr-CA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A50B314-5112-49F4-B91F-267A7BE9B1EC}"/>
                </a:ext>
              </a:extLst>
            </xdr:cNvPr>
            <xdr:cNvSpPr txBox="1"/>
          </xdr:nvSpPr>
          <xdr:spPr>
            <a:xfrm>
              <a:off x="9192260" y="2471615"/>
              <a:ext cx="546100" cy="393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𝑎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𝑎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388508</xdr:colOff>
      <xdr:row>0</xdr:row>
      <xdr:rowOff>177912</xdr:rowOff>
    </xdr:from>
    <xdr:to>
      <xdr:col>28</xdr:col>
      <xdr:colOff>106680</xdr:colOff>
      <xdr:row>27</xdr:row>
      <xdr:rowOff>15240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CB713FA-7B5C-46E5-8C32-65AD8C1E6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63500</xdr:colOff>
      <xdr:row>10</xdr:row>
      <xdr:rowOff>18562</xdr:rowOff>
    </xdr:from>
    <xdr:ext cx="835269" cy="42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6">
              <a:extLst>
                <a:ext uri="{FF2B5EF4-FFF2-40B4-BE49-F238E27FC236}">
                  <a16:creationId xmlns:a16="http://schemas.microsoft.com/office/drawing/2014/main" id="{139A3703-5A25-4F37-AE87-D54D95FEECCE}"/>
                </a:ext>
              </a:extLst>
            </xdr:cNvPr>
            <xdr:cNvSpPr txBox="1"/>
          </xdr:nvSpPr>
          <xdr:spPr>
            <a:xfrm>
              <a:off x="11051540" y="1847362"/>
              <a:ext cx="835269" cy="42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3" name="TextBox 6">
              <a:extLst>
                <a:ext uri="{FF2B5EF4-FFF2-40B4-BE49-F238E27FC236}">
                  <a16:creationId xmlns:a16="http://schemas.microsoft.com/office/drawing/2014/main" id="{139A3703-5A25-4F37-AE87-D54D95FEECCE}"/>
                </a:ext>
              </a:extLst>
            </xdr:cNvPr>
            <xdr:cNvSpPr txBox="1"/>
          </xdr:nvSpPr>
          <xdr:spPr>
            <a:xfrm>
              <a:off x="11051540" y="1847362"/>
              <a:ext cx="835269" cy="42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𝑦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𝑁+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𝑦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𝑦</a:t>
              </a:r>
              <a:r>
                <a:rPr lang="en-US" sz="1100" b="0" i="0" kern="1200">
                  <a:latin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𝑁−𝑦_1 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15</xdr:col>
      <xdr:colOff>47872</xdr:colOff>
      <xdr:row>10</xdr:row>
      <xdr:rowOff>21491</xdr:rowOff>
    </xdr:from>
    <xdr:ext cx="736600" cy="3888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7">
              <a:extLst>
                <a:ext uri="{FF2B5EF4-FFF2-40B4-BE49-F238E27FC236}">
                  <a16:creationId xmlns:a16="http://schemas.microsoft.com/office/drawing/2014/main" id="{938744BF-21DE-4958-B1EB-7D38D611A1B6}"/>
                </a:ext>
              </a:extLst>
            </xdr:cNvPr>
            <xdr:cNvSpPr txBox="1"/>
          </xdr:nvSpPr>
          <xdr:spPr>
            <a:xfrm>
              <a:off x="11820772" y="1850291"/>
              <a:ext cx="736600" cy="388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  <m:r>
                          <a:rPr lang="fr-CA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fr-CA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" name="TextBox 7">
              <a:extLst>
                <a:ext uri="{FF2B5EF4-FFF2-40B4-BE49-F238E27FC236}">
                  <a16:creationId xmlns:a16="http://schemas.microsoft.com/office/drawing/2014/main" id="{938744BF-21DE-4958-B1EB-7D38D611A1B6}"/>
                </a:ext>
              </a:extLst>
            </xdr:cNvPr>
            <xdr:cNvSpPr txBox="1"/>
          </xdr:nvSpPr>
          <xdr:spPr>
            <a:xfrm>
              <a:off x="11820772" y="1850291"/>
              <a:ext cx="736600" cy="388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 kern="1200">
                  <a:latin typeface="Cambria Math" panose="02040503050406030204" pitchFamily="18" charset="0"/>
                </a:rPr>
                <a:t>(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𝑁+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𝑥</a:t>
              </a:r>
              <a:r>
                <a:rPr lang="en-US" sz="1100" b="0" i="0" kern="1200">
                  <a:latin typeface="Cambria Math" panose="02040503050406030204" pitchFamily="18" charset="0"/>
                </a:rPr>
                <a:t>_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𝑁−𝑥_1 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14</xdr:col>
      <xdr:colOff>635000</xdr:colOff>
      <xdr:row>13</xdr:row>
      <xdr:rowOff>33215</xdr:rowOff>
    </xdr:from>
    <xdr:ext cx="546100" cy="393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5242568E-EB47-4EE8-9E48-543459B1905E}"/>
                </a:ext>
              </a:extLst>
            </xdr:cNvPr>
            <xdr:cNvSpPr txBox="1"/>
          </xdr:nvSpPr>
          <xdr:spPr>
            <a:xfrm>
              <a:off x="11623040" y="2410655"/>
              <a:ext cx="546100" cy="393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fr-CA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lang="fr-CA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5242568E-EB47-4EE8-9E48-543459B1905E}"/>
                </a:ext>
              </a:extLst>
            </xdr:cNvPr>
            <xdr:cNvSpPr txBox="1"/>
          </xdr:nvSpPr>
          <xdr:spPr>
            <a:xfrm>
              <a:off x="11623040" y="2410655"/>
              <a:ext cx="546100" cy="393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fr-CA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𝑎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fr-CA" sz="1100" b="0" i="0" kern="1200">
                  <a:latin typeface="Cambria Math" panose="02040503050406030204" pitchFamily="18" charset="0"/>
                </a:rPr>
                <a:t>𝑎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EA1167-1895-D66F-FEC0-876207E31F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67CF0DF-A3E2-9292-5400-FBB504949F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69A8A07-0A6A-CB95-7402-84CF49793E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8985-FC65-42C3-993A-BC5D794EE026}">
  <dimension ref="B3:U44"/>
  <sheetViews>
    <sheetView tabSelected="1" topLeftCell="A26" workbookViewId="0">
      <selection activeCell="K44" sqref="K44"/>
    </sheetView>
  </sheetViews>
  <sheetFormatPr baseColWidth="10" defaultColWidth="11.44140625" defaultRowHeight="14.4" x14ac:dyDescent="0.3"/>
  <cols>
    <col min="1" max="20" width="11.44140625" style="3"/>
    <col min="21" max="21" width="11.44140625" style="3" customWidth="1"/>
    <col min="22" max="16384" width="11.44140625" style="3"/>
  </cols>
  <sheetData>
    <row r="3" spans="2:21" s="11" customFormat="1" ht="30" customHeight="1" thickBot="1" x14ac:dyDescent="0.35">
      <c r="B3" s="83" t="s">
        <v>0</v>
      </c>
      <c r="C3" s="83"/>
      <c r="D3" s="83"/>
      <c r="E3" s="83"/>
      <c r="F3" s="83"/>
      <c r="G3" s="83"/>
      <c r="I3" s="83" t="s">
        <v>1</v>
      </c>
      <c r="J3" s="83"/>
      <c r="K3" s="83"/>
      <c r="L3" s="83"/>
      <c r="M3" s="83"/>
      <c r="N3" s="83"/>
      <c r="P3" s="83" t="s">
        <v>2</v>
      </c>
      <c r="Q3" s="83"/>
      <c r="R3" s="83"/>
      <c r="S3" s="83"/>
      <c r="T3" s="83"/>
      <c r="U3" s="83"/>
    </row>
    <row r="4" spans="2:21" ht="15.6" x14ac:dyDescent="0.3">
      <c r="B4" s="87" t="s">
        <v>42</v>
      </c>
      <c r="C4" s="88"/>
      <c r="D4" s="88"/>
      <c r="E4" s="85" t="s">
        <v>47</v>
      </c>
      <c r="F4" s="85"/>
      <c r="G4" s="86"/>
      <c r="I4" s="87" t="s">
        <v>43</v>
      </c>
      <c r="J4" s="88"/>
      <c r="K4" s="88"/>
      <c r="L4" s="85" t="s">
        <v>46</v>
      </c>
      <c r="M4" s="85"/>
      <c r="N4" s="86"/>
      <c r="P4" s="87" t="s">
        <v>50</v>
      </c>
      <c r="Q4" s="88"/>
      <c r="R4" s="88"/>
      <c r="S4" s="85" t="s">
        <v>41</v>
      </c>
      <c r="T4" s="85"/>
      <c r="U4" s="86"/>
    </row>
    <row r="5" spans="2:21" x14ac:dyDescent="0.3">
      <c r="B5" s="66">
        <v>2</v>
      </c>
      <c r="C5" s="8">
        <f>0.001*B5+0.003</f>
        <v>5.0000000000000001E-3</v>
      </c>
      <c r="D5" s="9">
        <f>C5/B5</f>
        <v>2.5000000000000001E-3</v>
      </c>
      <c r="E5" s="4">
        <v>2.0299999999999998</v>
      </c>
      <c r="F5" s="6">
        <f>0.005*E5+0.01</f>
        <v>2.0150000000000001E-2</v>
      </c>
      <c r="G5" s="67">
        <f>F5/E5</f>
        <v>9.9261083743842383E-3</v>
      </c>
      <c r="I5" s="66">
        <v>2</v>
      </c>
      <c r="J5" s="8">
        <f>0.001*I5+0.003</f>
        <v>5.0000000000000001E-3</v>
      </c>
      <c r="K5" s="9">
        <f>J5/I5</f>
        <v>2.5000000000000001E-3</v>
      </c>
      <c r="L5" s="5">
        <v>0.3</v>
      </c>
      <c r="M5" s="7">
        <f>0.005*L5+0.1</f>
        <v>0.10150000000000001</v>
      </c>
      <c r="N5" s="74">
        <f>M5/L5</f>
        <v>0.33833333333333337</v>
      </c>
      <c r="P5" s="66">
        <v>2</v>
      </c>
      <c r="Q5" s="8">
        <f>0.001*P5+0.003</f>
        <v>5.0000000000000001E-3</v>
      </c>
      <c r="R5" s="9">
        <f>Q5/P5</f>
        <v>2.5000000000000001E-3</v>
      </c>
      <c r="S5" s="2">
        <v>7.55</v>
      </c>
      <c r="T5" s="6">
        <f>0.005*S5+0.01</f>
        <v>4.7750000000000001E-2</v>
      </c>
      <c r="U5" s="67">
        <f>T5/S5</f>
        <v>6.3245033112582782E-3</v>
      </c>
    </row>
    <row r="6" spans="2:21" x14ac:dyDescent="0.3">
      <c r="B6" s="66">
        <f>B5+2</f>
        <v>4</v>
      </c>
      <c r="C6" s="8">
        <f t="shared" ref="C6:C13" si="0">0.001*B6+0.003</f>
        <v>7.0000000000000001E-3</v>
      </c>
      <c r="D6" s="9">
        <f t="shared" ref="D6:D14" si="1">C6/B6</f>
        <v>1.75E-3</v>
      </c>
      <c r="E6" s="4">
        <v>4.0599999999999996</v>
      </c>
      <c r="F6" s="6">
        <f t="shared" ref="F6:F13" si="2">0.005*E6+0.01</f>
        <v>3.0300000000000001E-2</v>
      </c>
      <c r="G6" s="67">
        <f t="shared" ref="G6:G14" si="3">F6/E6</f>
        <v>7.4630541871921188E-3</v>
      </c>
      <c r="I6" s="66">
        <f>I5+2</f>
        <v>4</v>
      </c>
      <c r="J6" s="8">
        <f t="shared" ref="J6:J13" si="4">0.001*I6+0.003</f>
        <v>7.0000000000000001E-3</v>
      </c>
      <c r="K6" s="9">
        <f t="shared" ref="K6:K14" si="5">J6/I6</f>
        <v>1.75E-3</v>
      </c>
      <c r="L6" s="5">
        <v>0.7</v>
      </c>
      <c r="M6" s="7">
        <f t="shared" ref="M6:M14" si="6">0.005*L6+0.1</f>
        <v>0.10350000000000001</v>
      </c>
      <c r="N6" s="74">
        <f t="shared" ref="N6:N14" si="7">M6/L6</f>
        <v>0.14785714285714288</v>
      </c>
      <c r="P6" s="66">
        <f>P5+2</f>
        <v>4</v>
      </c>
      <c r="Q6" s="8">
        <f t="shared" ref="Q6:Q13" si="8">0.001*P6+0.003</f>
        <v>7.0000000000000001E-3</v>
      </c>
      <c r="R6" s="9">
        <f t="shared" ref="R6:R19" si="9">Q6/P6</f>
        <v>1.75E-3</v>
      </c>
      <c r="S6" s="2">
        <v>11.42</v>
      </c>
      <c r="T6" s="6">
        <f t="shared" ref="T6:T8" si="10">0.005*S6+0.01</f>
        <v>6.7099999999999993E-2</v>
      </c>
      <c r="U6" s="67">
        <f t="shared" ref="U6:U19" si="11">T6/S6</f>
        <v>5.8756567425569169E-3</v>
      </c>
    </row>
    <row r="7" spans="2:21" x14ac:dyDescent="0.3">
      <c r="B7" s="66">
        <f>B6+2</f>
        <v>6</v>
      </c>
      <c r="C7" s="8">
        <f t="shared" si="0"/>
        <v>9.0000000000000011E-3</v>
      </c>
      <c r="D7" s="9">
        <f t="shared" si="1"/>
        <v>1.5000000000000002E-3</v>
      </c>
      <c r="E7" s="4">
        <v>6.1</v>
      </c>
      <c r="F7" s="6">
        <f t="shared" si="2"/>
        <v>4.0500000000000001E-2</v>
      </c>
      <c r="G7" s="67">
        <f t="shared" si="3"/>
        <v>6.6393442622950825E-3</v>
      </c>
      <c r="I7" s="66">
        <f t="shared" ref="I7:I13" si="12">I6+2</f>
        <v>6</v>
      </c>
      <c r="J7" s="8">
        <f t="shared" si="4"/>
        <v>9.0000000000000011E-3</v>
      </c>
      <c r="K7" s="9">
        <f t="shared" si="5"/>
        <v>1.5000000000000002E-3</v>
      </c>
      <c r="L7" s="5">
        <v>1.2</v>
      </c>
      <c r="M7" s="7">
        <f t="shared" si="6"/>
        <v>0.10600000000000001</v>
      </c>
      <c r="N7" s="75">
        <f t="shared" si="7"/>
        <v>8.8333333333333347E-2</v>
      </c>
      <c r="P7" s="66">
        <f t="shared" ref="P7:P19" si="13">P6+2</f>
        <v>6</v>
      </c>
      <c r="Q7" s="8">
        <f t="shared" si="8"/>
        <v>9.0000000000000011E-3</v>
      </c>
      <c r="R7" s="9">
        <f t="shared" si="9"/>
        <v>1.5000000000000002E-3</v>
      </c>
      <c r="S7" s="2">
        <v>14.65</v>
      </c>
      <c r="T7" s="6">
        <f t="shared" si="10"/>
        <v>8.3250000000000005E-2</v>
      </c>
      <c r="U7" s="67">
        <f t="shared" si="11"/>
        <v>5.6825938566552906E-3</v>
      </c>
    </row>
    <row r="8" spans="2:21" x14ac:dyDescent="0.3">
      <c r="B8" s="68">
        <f t="shared" ref="B8:B13" si="14">B7+2</f>
        <v>8</v>
      </c>
      <c r="C8" s="6">
        <f t="shared" si="0"/>
        <v>1.0999999999999999E-2</v>
      </c>
      <c r="D8" s="9">
        <f t="shared" si="1"/>
        <v>1.3749999999999999E-3</v>
      </c>
      <c r="E8" s="4">
        <v>8.14</v>
      </c>
      <c r="F8" s="6">
        <f t="shared" si="2"/>
        <v>5.0700000000000009E-2</v>
      </c>
      <c r="G8" s="67">
        <f t="shared" si="3"/>
        <v>6.2285012285012292E-3</v>
      </c>
      <c r="I8" s="68">
        <f t="shared" si="12"/>
        <v>8</v>
      </c>
      <c r="J8" s="6">
        <f t="shared" si="4"/>
        <v>1.0999999999999999E-2</v>
      </c>
      <c r="K8" s="9">
        <f t="shared" si="5"/>
        <v>1.3749999999999999E-3</v>
      </c>
      <c r="L8" s="5">
        <v>1.6</v>
      </c>
      <c r="M8" s="7">
        <f>0.005*L8+0.1</f>
        <v>0.10800000000000001</v>
      </c>
      <c r="N8" s="75">
        <f t="shared" si="7"/>
        <v>6.7500000000000004E-2</v>
      </c>
      <c r="P8" s="68">
        <f t="shared" si="13"/>
        <v>8</v>
      </c>
      <c r="Q8" s="6">
        <f t="shared" si="8"/>
        <v>1.0999999999999999E-2</v>
      </c>
      <c r="R8" s="9">
        <f t="shared" si="9"/>
        <v>1.3749999999999999E-3</v>
      </c>
      <c r="S8" s="5">
        <v>17.48</v>
      </c>
      <c r="T8" s="7">
        <f t="shared" si="10"/>
        <v>9.74E-2</v>
      </c>
      <c r="U8" s="67">
        <f t="shared" si="11"/>
        <v>5.5720823798627002E-3</v>
      </c>
    </row>
    <row r="9" spans="2:21" x14ac:dyDescent="0.3">
      <c r="B9" s="68">
        <f t="shared" si="14"/>
        <v>10</v>
      </c>
      <c r="C9" s="6">
        <f t="shared" si="0"/>
        <v>1.3000000000000001E-2</v>
      </c>
      <c r="D9" s="9">
        <f t="shared" si="1"/>
        <v>1.3000000000000002E-3</v>
      </c>
      <c r="E9" s="4">
        <v>10.18</v>
      </c>
      <c r="F9" s="6">
        <f t="shared" si="2"/>
        <v>6.0900000000000003E-2</v>
      </c>
      <c r="G9" s="67">
        <f t="shared" si="3"/>
        <v>5.9823182711198431E-3</v>
      </c>
      <c r="I9" s="68">
        <f t="shared" si="12"/>
        <v>10</v>
      </c>
      <c r="J9" s="6">
        <f t="shared" si="4"/>
        <v>1.3000000000000001E-2</v>
      </c>
      <c r="K9" s="9">
        <f t="shared" si="5"/>
        <v>1.3000000000000002E-3</v>
      </c>
      <c r="L9" s="5">
        <v>2</v>
      </c>
      <c r="M9" s="7">
        <f t="shared" si="6"/>
        <v>0.11</v>
      </c>
      <c r="N9" s="75">
        <f t="shared" si="7"/>
        <v>5.5E-2</v>
      </c>
      <c r="P9" s="68">
        <f t="shared" si="13"/>
        <v>10</v>
      </c>
      <c r="Q9" s="6">
        <f t="shared" si="8"/>
        <v>1.3000000000000001E-2</v>
      </c>
      <c r="R9" s="9">
        <f t="shared" si="9"/>
        <v>1.3000000000000002E-3</v>
      </c>
      <c r="S9" s="5">
        <v>19.899999999999999</v>
      </c>
      <c r="T9" s="112">
        <f>0.012*S9+0.1</f>
        <v>0.33879999999999999</v>
      </c>
      <c r="U9" s="78">
        <f t="shared" si="11"/>
        <v>1.7025125628140705E-2</v>
      </c>
    </row>
    <row r="10" spans="2:21" x14ac:dyDescent="0.3">
      <c r="B10" s="68">
        <f t="shared" si="14"/>
        <v>12</v>
      </c>
      <c r="C10" s="6">
        <f t="shared" si="0"/>
        <v>1.4999999999999999E-2</v>
      </c>
      <c r="D10" s="9">
        <f t="shared" si="1"/>
        <v>1.25E-3</v>
      </c>
      <c r="E10" s="4">
        <v>12.22</v>
      </c>
      <c r="F10" s="6">
        <f t="shared" si="2"/>
        <v>7.1099999999999997E-2</v>
      </c>
      <c r="G10" s="67">
        <f t="shared" si="3"/>
        <v>5.8183306055646479E-3</v>
      </c>
      <c r="I10" s="68">
        <f t="shared" si="12"/>
        <v>12</v>
      </c>
      <c r="J10" s="6">
        <f t="shared" si="4"/>
        <v>1.4999999999999999E-2</v>
      </c>
      <c r="K10" s="9">
        <f t="shared" si="5"/>
        <v>1.25E-3</v>
      </c>
      <c r="L10" s="5">
        <v>2.4</v>
      </c>
      <c r="M10" s="7">
        <f t="shared" si="6"/>
        <v>0.112</v>
      </c>
      <c r="N10" s="75">
        <f t="shared" si="7"/>
        <v>4.6666666666666669E-2</v>
      </c>
      <c r="P10" s="68">
        <f t="shared" si="13"/>
        <v>12</v>
      </c>
      <c r="Q10" s="6">
        <f t="shared" si="8"/>
        <v>1.4999999999999999E-2</v>
      </c>
      <c r="R10" s="9">
        <f t="shared" si="9"/>
        <v>1.25E-3</v>
      </c>
      <c r="S10" s="5">
        <v>22.3</v>
      </c>
      <c r="T10" s="112">
        <f>0.012*S10+0.1</f>
        <v>0.36760000000000004</v>
      </c>
      <c r="U10" s="78">
        <f t="shared" si="11"/>
        <v>1.6484304932735429E-2</v>
      </c>
    </row>
    <row r="11" spans="2:21" x14ac:dyDescent="0.3">
      <c r="B11" s="68">
        <f t="shared" si="14"/>
        <v>14</v>
      </c>
      <c r="C11" s="6">
        <f t="shared" si="0"/>
        <v>1.7000000000000001E-2</v>
      </c>
      <c r="D11" s="9">
        <f t="shared" si="1"/>
        <v>1.2142857142857144E-3</v>
      </c>
      <c r="E11" s="4">
        <v>14.25</v>
      </c>
      <c r="F11" s="6">
        <f t="shared" si="2"/>
        <v>8.1250000000000003E-2</v>
      </c>
      <c r="G11" s="67">
        <f t="shared" si="3"/>
        <v>5.7017543859649127E-3</v>
      </c>
      <c r="I11" s="68">
        <f t="shared" si="12"/>
        <v>14</v>
      </c>
      <c r="J11" s="6">
        <f t="shared" si="4"/>
        <v>1.7000000000000001E-2</v>
      </c>
      <c r="K11" s="9">
        <f t="shared" si="5"/>
        <v>1.2142857142857144E-3</v>
      </c>
      <c r="L11" s="5">
        <v>2.8</v>
      </c>
      <c r="M11" s="7">
        <f t="shared" si="6"/>
        <v>0.114</v>
      </c>
      <c r="N11" s="75">
        <f t="shared" si="7"/>
        <v>4.0714285714285717E-2</v>
      </c>
      <c r="P11" s="68">
        <f t="shared" si="13"/>
        <v>14</v>
      </c>
      <c r="Q11" s="6">
        <f t="shared" si="8"/>
        <v>1.7000000000000001E-2</v>
      </c>
      <c r="R11" s="9">
        <f t="shared" si="9"/>
        <v>1.2142857142857144E-3</v>
      </c>
      <c r="S11" s="5">
        <v>24.5</v>
      </c>
      <c r="T11" s="112">
        <f t="shared" ref="T11:T19" si="15">0.012*S11+0.1</f>
        <v>0.39400000000000002</v>
      </c>
      <c r="U11" s="78">
        <f t="shared" si="11"/>
        <v>1.6081632653061225E-2</v>
      </c>
    </row>
    <row r="12" spans="2:21" x14ac:dyDescent="0.3">
      <c r="B12" s="68">
        <f t="shared" si="14"/>
        <v>16</v>
      </c>
      <c r="C12" s="6">
        <f t="shared" si="0"/>
        <v>1.9E-2</v>
      </c>
      <c r="D12" s="9">
        <f t="shared" si="1"/>
        <v>1.1875E-3</v>
      </c>
      <c r="E12" s="4">
        <v>16.3</v>
      </c>
      <c r="F12" s="6">
        <f t="shared" si="2"/>
        <v>9.1499999999999998E-2</v>
      </c>
      <c r="G12" s="67">
        <f t="shared" si="3"/>
        <v>5.6134969325153375E-3</v>
      </c>
      <c r="I12" s="68">
        <f t="shared" si="12"/>
        <v>16</v>
      </c>
      <c r="J12" s="6">
        <f t="shared" si="4"/>
        <v>1.9E-2</v>
      </c>
      <c r="K12" s="9">
        <f t="shared" si="5"/>
        <v>1.1875E-3</v>
      </c>
      <c r="L12" s="5">
        <v>3.2</v>
      </c>
      <c r="M12" s="7">
        <f t="shared" si="6"/>
        <v>0.11600000000000001</v>
      </c>
      <c r="N12" s="75">
        <f t="shared" si="7"/>
        <v>3.6249999999999998E-2</v>
      </c>
      <c r="P12" s="68">
        <f t="shared" si="13"/>
        <v>16</v>
      </c>
      <c r="Q12" s="6">
        <f t="shared" si="8"/>
        <v>1.9E-2</v>
      </c>
      <c r="R12" s="9">
        <f t="shared" si="9"/>
        <v>1.1875E-3</v>
      </c>
      <c r="S12" s="5">
        <v>26.5</v>
      </c>
      <c r="T12" s="112">
        <f t="shared" si="15"/>
        <v>0.41800000000000004</v>
      </c>
      <c r="U12" s="78">
        <f t="shared" si="11"/>
        <v>1.577358490566038E-2</v>
      </c>
    </row>
    <row r="13" spans="2:21" x14ac:dyDescent="0.3">
      <c r="B13" s="68">
        <f t="shared" si="14"/>
        <v>18</v>
      </c>
      <c r="C13" s="6">
        <f t="shared" si="0"/>
        <v>2.1000000000000001E-2</v>
      </c>
      <c r="D13" s="9">
        <f t="shared" si="1"/>
        <v>1.1666666666666668E-3</v>
      </c>
      <c r="E13" s="5">
        <v>18.34</v>
      </c>
      <c r="F13" s="7">
        <f t="shared" si="2"/>
        <v>0.1017</v>
      </c>
      <c r="G13" s="67">
        <f t="shared" si="3"/>
        <v>5.5452562704471102E-3</v>
      </c>
      <c r="I13" s="68">
        <f t="shared" si="12"/>
        <v>18</v>
      </c>
      <c r="J13" s="6">
        <f t="shared" si="4"/>
        <v>2.1000000000000001E-2</v>
      </c>
      <c r="K13" s="9">
        <f t="shared" si="5"/>
        <v>1.1666666666666668E-3</v>
      </c>
      <c r="L13" s="5">
        <v>3.6</v>
      </c>
      <c r="M13" s="7">
        <f t="shared" si="6"/>
        <v>0.11800000000000001</v>
      </c>
      <c r="N13" s="75">
        <f t="shared" si="7"/>
        <v>3.2777777777777781E-2</v>
      </c>
      <c r="P13" s="68">
        <f t="shared" si="13"/>
        <v>18</v>
      </c>
      <c r="Q13" s="6">
        <f t="shared" si="8"/>
        <v>2.1000000000000001E-2</v>
      </c>
      <c r="R13" s="9">
        <f t="shared" si="9"/>
        <v>1.1666666666666668E-3</v>
      </c>
      <c r="S13" s="5">
        <v>28.4</v>
      </c>
      <c r="T13" s="112">
        <f t="shared" si="15"/>
        <v>0.44079999999999997</v>
      </c>
      <c r="U13" s="78">
        <f t="shared" si="11"/>
        <v>1.5521126760563379E-2</v>
      </c>
    </row>
    <row r="14" spans="2:21" ht="15" thickBot="1" x14ac:dyDescent="0.35">
      <c r="B14" s="69">
        <f>B13+2</f>
        <v>20</v>
      </c>
      <c r="C14" s="109">
        <f>0.001*B14+0.03</f>
        <v>0.05</v>
      </c>
      <c r="D14" s="70">
        <f t="shared" si="1"/>
        <v>2.5000000000000001E-3</v>
      </c>
      <c r="E14" s="71">
        <v>20.3</v>
      </c>
      <c r="F14" s="110">
        <f>0.012*E14+0.1</f>
        <v>0.34360000000000002</v>
      </c>
      <c r="G14" s="73">
        <f t="shared" si="3"/>
        <v>1.6926108374384238E-2</v>
      </c>
      <c r="I14" s="69">
        <f>I13+2</f>
        <v>20</v>
      </c>
      <c r="J14" s="109">
        <f>0.001*I14+0.03</f>
        <v>0.05</v>
      </c>
      <c r="K14" s="70">
        <f t="shared" si="5"/>
        <v>2.5000000000000001E-3</v>
      </c>
      <c r="L14" s="76">
        <v>4</v>
      </c>
      <c r="M14" s="72">
        <f t="shared" si="6"/>
        <v>0.12000000000000001</v>
      </c>
      <c r="N14" s="77">
        <f t="shared" si="7"/>
        <v>3.0000000000000002E-2</v>
      </c>
      <c r="P14" s="68">
        <f t="shared" si="13"/>
        <v>20</v>
      </c>
      <c r="Q14" s="111">
        <f>0.001*P14+0.03</f>
        <v>0.05</v>
      </c>
      <c r="R14" s="10">
        <f t="shared" si="9"/>
        <v>2.5000000000000001E-3</v>
      </c>
      <c r="S14" s="5">
        <v>30.4</v>
      </c>
      <c r="T14" s="112">
        <f t="shared" si="15"/>
        <v>0.46479999999999999</v>
      </c>
      <c r="U14" s="78">
        <f t="shared" si="11"/>
        <v>1.5289473684210526E-2</v>
      </c>
    </row>
    <row r="15" spans="2:21" ht="14.4" customHeight="1" x14ac:dyDescent="0.3">
      <c r="B15" s="126" t="s">
        <v>37</v>
      </c>
      <c r="C15" s="126"/>
      <c r="D15" s="126"/>
      <c r="E15" s="126"/>
      <c r="F15" s="126"/>
      <c r="G15" s="126"/>
      <c r="P15" s="68">
        <f t="shared" si="13"/>
        <v>22</v>
      </c>
      <c r="Q15" s="111">
        <f t="shared" ref="Q15:Q19" si="16">0.001*P15+0.03</f>
        <v>5.1999999999999998E-2</v>
      </c>
      <c r="R15" s="10">
        <f t="shared" si="9"/>
        <v>2.3636363636363633E-3</v>
      </c>
      <c r="S15" s="5">
        <v>32.200000000000003</v>
      </c>
      <c r="T15" s="112">
        <f t="shared" si="15"/>
        <v>0.48640000000000005</v>
      </c>
      <c r="U15" s="78">
        <f t="shared" si="11"/>
        <v>1.5105590062111802E-2</v>
      </c>
    </row>
    <row r="16" spans="2:21" ht="14.4" customHeight="1" x14ac:dyDescent="0.3">
      <c r="B16" s="125"/>
      <c r="C16" s="125"/>
      <c r="D16" s="125"/>
      <c r="E16" s="125"/>
      <c r="F16" s="125"/>
      <c r="G16" s="125"/>
      <c r="P16" s="68">
        <f t="shared" si="13"/>
        <v>24</v>
      </c>
      <c r="Q16" s="111">
        <f t="shared" si="16"/>
        <v>5.3999999999999999E-2</v>
      </c>
      <c r="R16" s="10">
        <f t="shared" si="9"/>
        <v>2.2499999999999998E-3</v>
      </c>
      <c r="S16" s="5">
        <v>33.9</v>
      </c>
      <c r="T16" s="112">
        <f t="shared" si="15"/>
        <v>0.50680000000000003</v>
      </c>
      <c r="U16" s="78">
        <f t="shared" si="11"/>
        <v>1.4949852507374633E-2</v>
      </c>
    </row>
    <row r="17" spans="2:21" x14ac:dyDescent="0.3">
      <c r="B17" s="123" t="s">
        <v>38</v>
      </c>
      <c r="C17" s="123"/>
      <c r="D17" s="123"/>
      <c r="E17" s="124"/>
      <c r="F17" s="123" t="s">
        <v>39</v>
      </c>
      <c r="G17" s="123"/>
      <c r="H17" s="123"/>
      <c r="J17" s="123" t="s">
        <v>40</v>
      </c>
      <c r="K17" s="123"/>
      <c r="L17" s="123"/>
      <c r="P17" s="68">
        <f t="shared" si="13"/>
        <v>26</v>
      </c>
      <c r="Q17" s="111">
        <f t="shared" si="16"/>
        <v>5.6000000000000001E-2</v>
      </c>
      <c r="R17" s="10">
        <f t="shared" si="9"/>
        <v>2.1538461538461538E-3</v>
      </c>
      <c r="S17" s="5">
        <v>35.6</v>
      </c>
      <c r="T17" s="112">
        <f t="shared" si="15"/>
        <v>0.5272</v>
      </c>
      <c r="U17" s="78">
        <f t="shared" si="11"/>
        <v>1.4808988764044944E-2</v>
      </c>
    </row>
    <row r="18" spans="2:21" ht="15" thickBot="1" x14ac:dyDescent="0.35">
      <c r="B18" s="122"/>
      <c r="C18" s="122"/>
      <c r="D18" s="122"/>
      <c r="F18" s="122"/>
      <c r="G18" s="122"/>
      <c r="H18" s="122"/>
      <c r="J18" s="122"/>
      <c r="K18" s="122"/>
      <c r="L18" s="122"/>
      <c r="P18" s="68">
        <f t="shared" si="13"/>
        <v>28</v>
      </c>
      <c r="Q18" s="111">
        <f t="shared" si="16"/>
        <v>5.7999999999999996E-2</v>
      </c>
      <c r="R18" s="10">
        <f t="shared" si="9"/>
        <v>2.0714285714285713E-3</v>
      </c>
      <c r="S18" s="5">
        <v>37.200000000000003</v>
      </c>
      <c r="T18" s="112">
        <f t="shared" si="15"/>
        <v>0.5464</v>
      </c>
      <c r="U18" s="78">
        <f t="shared" si="11"/>
        <v>1.4688172043010752E-2</v>
      </c>
    </row>
    <row r="19" spans="2:21" ht="16.2" thickBot="1" x14ac:dyDescent="0.35">
      <c r="B19" s="84" t="s">
        <v>48</v>
      </c>
      <c r="C19" s="85"/>
      <c r="D19" s="86"/>
      <c r="F19" s="84" t="s">
        <v>49</v>
      </c>
      <c r="G19" s="85"/>
      <c r="H19" s="86"/>
      <c r="J19" s="84" t="s">
        <v>44</v>
      </c>
      <c r="K19" s="85"/>
      <c r="L19" s="86"/>
      <c r="P19" s="69">
        <f t="shared" si="13"/>
        <v>30</v>
      </c>
      <c r="Q19" s="109">
        <f t="shared" si="16"/>
        <v>0.06</v>
      </c>
      <c r="R19" s="70">
        <f t="shared" si="9"/>
        <v>2E-3</v>
      </c>
      <c r="S19" s="76">
        <v>38.700000000000003</v>
      </c>
      <c r="T19" s="110">
        <f t="shared" si="15"/>
        <v>0.56440000000000001</v>
      </c>
      <c r="U19" s="73">
        <f t="shared" si="11"/>
        <v>1.4583979328165374E-2</v>
      </c>
    </row>
    <row r="20" spans="2:21" x14ac:dyDescent="0.3">
      <c r="B20" s="132">
        <f>E5/1000</f>
        <v>2.0299999999999997E-3</v>
      </c>
      <c r="C20" s="130">
        <f>F5/1000</f>
        <v>2.0150000000000002E-5</v>
      </c>
      <c r="D20" s="67">
        <f>C20/B20</f>
        <v>9.9261083743842383E-3</v>
      </c>
      <c r="F20" s="141">
        <f>L5/1000^2</f>
        <v>2.9999999999999999E-7</v>
      </c>
      <c r="G20" s="138">
        <f>M5/1000^2</f>
        <v>1.015E-7</v>
      </c>
      <c r="H20" s="74">
        <f>G20/F20</f>
        <v>0.33833333333333337</v>
      </c>
      <c r="J20" s="127">
        <f>S5/1000</f>
        <v>7.5499999999999994E-3</v>
      </c>
      <c r="K20" s="130">
        <f>T5/1000</f>
        <v>4.7750000000000002E-5</v>
      </c>
      <c r="L20" s="67">
        <f>K20/J20</f>
        <v>6.3245033112582791E-3</v>
      </c>
    </row>
    <row r="21" spans="2:21" x14ac:dyDescent="0.3">
      <c r="B21" s="132">
        <f t="shared" ref="B21:B29" si="17">E6/1000</f>
        <v>4.0599999999999994E-3</v>
      </c>
      <c r="C21" s="130">
        <f t="shared" ref="C21:C29" si="18">F6/1000</f>
        <v>3.0300000000000001E-5</v>
      </c>
      <c r="D21" s="67">
        <f t="shared" ref="D21:D29" si="19">C21/B21</f>
        <v>7.4630541871921197E-3</v>
      </c>
      <c r="F21" s="141">
        <f t="shared" ref="F21:F29" si="20">L6/1000^2</f>
        <v>6.9999999999999997E-7</v>
      </c>
      <c r="G21" s="138">
        <f t="shared" ref="G21:G29" si="21">M6/1000^2</f>
        <v>1.0350000000000001E-7</v>
      </c>
      <c r="H21" s="74">
        <f t="shared" ref="H21:H29" si="22">G21/F21</f>
        <v>0.14785714285714288</v>
      </c>
      <c r="J21" s="127">
        <f t="shared" ref="J21:J34" si="23">S6/1000</f>
        <v>1.142E-2</v>
      </c>
      <c r="K21" s="130">
        <f t="shared" ref="K21:K34" si="24">T6/1000</f>
        <v>6.7099999999999991E-5</v>
      </c>
      <c r="L21" s="67">
        <f t="shared" ref="L21:L34" si="25">K21/J21</f>
        <v>5.8756567425569169E-3</v>
      </c>
    </row>
    <row r="22" spans="2:21" x14ac:dyDescent="0.3">
      <c r="B22" s="132">
        <f t="shared" si="17"/>
        <v>6.0999999999999995E-3</v>
      </c>
      <c r="C22" s="130">
        <f t="shared" si="18"/>
        <v>4.0500000000000002E-5</v>
      </c>
      <c r="D22" s="67">
        <f t="shared" si="19"/>
        <v>6.6393442622950825E-3</v>
      </c>
      <c r="F22" s="141">
        <f t="shared" si="20"/>
        <v>1.1999999999999999E-6</v>
      </c>
      <c r="G22" s="138">
        <f t="shared" si="21"/>
        <v>1.0600000000000001E-7</v>
      </c>
      <c r="H22" s="75">
        <f t="shared" si="22"/>
        <v>8.8333333333333347E-2</v>
      </c>
      <c r="J22" s="127">
        <f t="shared" si="23"/>
        <v>1.465E-2</v>
      </c>
      <c r="K22" s="130">
        <f t="shared" si="24"/>
        <v>8.3250000000000004E-5</v>
      </c>
      <c r="L22" s="67">
        <f t="shared" si="25"/>
        <v>5.6825938566552906E-3</v>
      </c>
    </row>
    <row r="23" spans="2:21" x14ac:dyDescent="0.3">
      <c r="B23" s="132">
        <f t="shared" si="17"/>
        <v>8.1400000000000014E-3</v>
      </c>
      <c r="C23" s="130">
        <f t="shared" si="18"/>
        <v>5.0700000000000006E-5</v>
      </c>
      <c r="D23" s="67">
        <f t="shared" si="19"/>
        <v>6.2285012285012284E-3</v>
      </c>
      <c r="F23" s="141">
        <f t="shared" si="20"/>
        <v>1.6000000000000001E-6</v>
      </c>
      <c r="G23" s="138">
        <f t="shared" si="21"/>
        <v>1.0800000000000001E-7</v>
      </c>
      <c r="H23" s="75">
        <f t="shared" si="22"/>
        <v>6.7500000000000004E-2</v>
      </c>
      <c r="J23" s="131">
        <f t="shared" si="23"/>
        <v>1.7479999999999999E-2</v>
      </c>
      <c r="K23" s="129">
        <f t="shared" si="24"/>
        <v>9.7399999999999996E-5</v>
      </c>
      <c r="L23" s="67">
        <f t="shared" si="25"/>
        <v>5.5720823798627002E-3</v>
      </c>
    </row>
    <row r="24" spans="2:21" x14ac:dyDescent="0.3">
      <c r="B24" s="132">
        <f t="shared" si="17"/>
        <v>1.018E-2</v>
      </c>
      <c r="C24" s="130">
        <f t="shared" si="18"/>
        <v>6.0900000000000003E-5</v>
      </c>
      <c r="D24" s="67">
        <f t="shared" si="19"/>
        <v>5.9823182711198431E-3</v>
      </c>
      <c r="F24" s="141">
        <f t="shared" si="20"/>
        <v>1.9999999999999999E-6</v>
      </c>
      <c r="G24" s="138">
        <f t="shared" si="21"/>
        <v>1.1000000000000001E-7</v>
      </c>
      <c r="H24" s="75">
        <f t="shared" si="22"/>
        <v>5.5000000000000007E-2</v>
      </c>
      <c r="J24" s="127">
        <f t="shared" si="23"/>
        <v>1.9899999999999998E-2</v>
      </c>
      <c r="K24" s="143">
        <f t="shared" si="24"/>
        <v>3.388E-4</v>
      </c>
      <c r="L24" s="78">
        <f t="shared" si="25"/>
        <v>1.7025125628140705E-2</v>
      </c>
    </row>
    <row r="25" spans="2:21" ht="15" thickBot="1" x14ac:dyDescent="0.35">
      <c r="B25" s="132">
        <f t="shared" si="17"/>
        <v>1.222E-2</v>
      </c>
      <c r="C25" s="130">
        <f t="shared" si="18"/>
        <v>7.1099999999999994E-5</v>
      </c>
      <c r="D25" s="67">
        <f t="shared" si="19"/>
        <v>5.8183306055646479E-3</v>
      </c>
      <c r="F25" s="141">
        <f t="shared" si="20"/>
        <v>2.3999999999999999E-6</v>
      </c>
      <c r="G25" s="138">
        <f t="shared" si="21"/>
        <v>1.12E-7</v>
      </c>
      <c r="H25" s="75">
        <f t="shared" si="22"/>
        <v>4.6666666666666669E-2</v>
      </c>
      <c r="J25" s="127">
        <f t="shared" si="23"/>
        <v>2.23E-2</v>
      </c>
      <c r="K25" s="143">
        <f t="shared" si="24"/>
        <v>3.6760000000000004E-4</v>
      </c>
      <c r="L25" s="78">
        <f t="shared" si="25"/>
        <v>1.6484304932735429E-2</v>
      </c>
    </row>
    <row r="26" spans="2:21" ht="14.4" customHeight="1" x14ac:dyDescent="0.3">
      <c r="B26" s="132">
        <f t="shared" si="17"/>
        <v>1.4250000000000001E-2</v>
      </c>
      <c r="C26" s="130">
        <f t="shared" si="18"/>
        <v>8.1249999999999996E-5</v>
      </c>
      <c r="D26" s="67">
        <f t="shared" si="19"/>
        <v>5.7017543859649118E-3</v>
      </c>
      <c r="F26" s="141">
        <f t="shared" si="20"/>
        <v>2.7999999999999999E-6</v>
      </c>
      <c r="G26" s="138">
        <f t="shared" si="21"/>
        <v>1.14E-7</v>
      </c>
      <c r="H26" s="75">
        <f t="shared" si="22"/>
        <v>4.0714285714285717E-2</v>
      </c>
      <c r="J26" s="127">
        <f t="shared" si="23"/>
        <v>2.4500000000000001E-2</v>
      </c>
      <c r="K26" s="143">
        <f t="shared" si="24"/>
        <v>3.9400000000000004E-4</v>
      </c>
      <c r="L26" s="78">
        <f t="shared" si="25"/>
        <v>1.6081632653061225E-2</v>
      </c>
      <c r="P26" s="113" t="s">
        <v>36</v>
      </c>
      <c r="Q26" s="114"/>
      <c r="R26" s="114"/>
      <c r="S26" s="114"/>
      <c r="T26" s="114"/>
      <c r="U26" s="115"/>
    </row>
    <row r="27" spans="2:21" x14ac:dyDescent="0.3">
      <c r="B27" s="132">
        <f t="shared" si="17"/>
        <v>1.6300000000000002E-2</v>
      </c>
      <c r="C27" s="130">
        <f t="shared" si="18"/>
        <v>9.1500000000000001E-5</v>
      </c>
      <c r="D27" s="67">
        <f t="shared" si="19"/>
        <v>5.6134969325153366E-3</v>
      </c>
      <c r="F27" s="141">
        <f t="shared" si="20"/>
        <v>3.2000000000000003E-6</v>
      </c>
      <c r="G27" s="138">
        <f t="shared" si="21"/>
        <v>1.1600000000000001E-7</v>
      </c>
      <c r="H27" s="75">
        <f t="shared" si="22"/>
        <v>3.6249999999999998E-2</v>
      </c>
      <c r="J27" s="127">
        <f t="shared" si="23"/>
        <v>2.6499999999999999E-2</v>
      </c>
      <c r="K27" s="143">
        <f t="shared" si="24"/>
        <v>4.1800000000000002E-4</v>
      </c>
      <c r="L27" s="78">
        <f t="shared" si="25"/>
        <v>1.577358490566038E-2</v>
      </c>
      <c r="P27" s="116"/>
      <c r="Q27" s="117"/>
      <c r="R27" s="117"/>
      <c r="S27" s="117"/>
      <c r="T27" s="117"/>
      <c r="U27" s="118"/>
    </row>
    <row r="28" spans="2:21" ht="15" thickBot="1" x14ac:dyDescent="0.35">
      <c r="B28" s="131">
        <f t="shared" si="17"/>
        <v>1.8339999999999999E-2</v>
      </c>
      <c r="C28" s="129">
        <f t="shared" si="18"/>
        <v>1.0170000000000001E-4</v>
      </c>
      <c r="D28" s="67">
        <f t="shared" si="19"/>
        <v>5.545256270447111E-3</v>
      </c>
      <c r="F28" s="141">
        <f t="shared" si="20"/>
        <v>3.6000000000000003E-6</v>
      </c>
      <c r="G28" s="138">
        <f t="shared" si="21"/>
        <v>1.1800000000000001E-7</v>
      </c>
      <c r="H28" s="75">
        <f t="shared" si="22"/>
        <v>3.2777777777777781E-2</v>
      </c>
      <c r="J28" s="127">
        <f t="shared" si="23"/>
        <v>2.8399999999999998E-2</v>
      </c>
      <c r="K28" s="143">
        <f t="shared" si="24"/>
        <v>4.4079999999999998E-4</v>
      </c>
      <c r="L28" s="78">
        <f t="shared" si="25"/>
        <v>1.5521126760563381E-2</v>
      </c>
      <c r="P28" s="119"/>
      <c r="Q28" s="120"/>
      <c r="R28" s="120"/>
      <c r="S28" s="120"/>
      <c r="T28" s="120"/>
      <c r="U28" s="121"/>
    </row>
    <row r="29" spans="2:21" ht="15" thickBot="1" x14ac:dyDescent="0.35">
      <c r="B29" s="133">
        <f t="shared" si="17"/>
        <v>2.0300000000000002E-2</v>
      </c>
      <c r="C29" s="135">
        <f t="shared" si="18"/>
        <v>3.436E-4</v>
      </c>
      <c r="D29" s="73">
        <f t="shared" si="19"/>
        <v>1.6926108374384234E-2</v>
      </c>
      <c r="F29" s="142">
        <f t="shared" si="20"/>
        <v>3.9999999999999998E-6</v>
      </c>
      <c r="G29" s="139">
        <f t="shared" si="21"/>
        <v>1.2000000000000002E-7</v>
      </c>
      <c r="H29" s="77">
        <f t="shared" si="22"/>
        <v>3.0000000000000006E-2</v>
      </c>
      <c r="J29" s="127">
        <f t="shared" si="23"/>
        <v>3.04E-2</v>
      </c>
      <c r="K29" s="143">
        <f t="shared" si="24"/>
        <v>4.6479999999999997E-4</v>
      </c>
      <c r="L29" s="78">
        <f t="shared" si="25"/>
        <v>1.5289473684210525E-2</v>
      </c>
    </row>
    <row r="30" spans="2:21" x14ac:dyDescent="0.3">
      <c r="J30" s="127">
        <f t="shared" si="23"/>
        <v>3.2199999999999999E-2</v>
      </c>
      <c r="K30" s="143">
        <f t="shared" si="24"/>
        <v>4.8640000000000006E-4</v>
      </c>
      <c r="L30" s="78">
        <f t="shared" si="25"/>
        <v>1.5105590062111804E-2</v>
      </c>
    </row>
    <row r="31" spans="2:21" x14ac:dyDescent="0.3">
      <c r="J31" s="127">
        <f t="shared" si="23"/>
        <v>3.39E-2</v>
      </c>
      <c r="K31" s="143">
        <f t="shared" si="24"/>
        <v>5.0680000000000007E-4</v>
      </c>
      <c r="L31" s="78">
        <f t="shared" si="25"/>
        <v>1.4949852507374633E-2</v>
      </c>
    </row>
    <row r="32" spans="2:21" x14ac:dyDescent="0.3">
      <c r="J32" s="127">
        <f t="shared" si="23"/>
        <v>3.56E-2</v>
      </c>
      <c r="K32" s="143">
        <f t="shared" si="24"/>
        <v>5.2720000000000002E-4</v>
      </c>
      <c r="L32" s="78">
        <f t="shared" si="25"/>
        <v>1.4808988764044944E-2</v>
      </c>
    </row>
    <row r="33" spans="2:21" x14ac:dyDescent="0.3">
      <c r="J33" s="127">
        <f t="shared" si="23"/>
        <v>3.7200000000000004E-2</v>
      </c>
      <c r="K33" s="143">
        <f t="shared" si="24"/>
        <v>5.4639999999999995E-4</v>
      </c>
      <c r="L33" s="78">
        <f t="shared" si="25"/>
        <v>1.4688172043010751E-2</v>
      </c>
    </row>
    <row r="34" spans="2:21" ht="15" thickBot="1" x14ac:dyDescent="0.35">
      <c r="J34" s="128">
        <f t="shared" si="23"/>
        <v>3.8700000000000005E-2</v>
      </c>
      <c r="K34" s="135">
        <f t="shared" si="24"/>
        <v>5.6440000000000006E-4</v>
      </c>
      <c r="L34" s="73">
        <f t="shared" si="25"/>
        <v>1.4583979328165374E-2</v>
      </c>
    </row>
    <row r="37" spans="2:21" s="11" customFormat="1" ht="15" thickBot="1" x14ac:dyDescent="0.35">
      <c r="B37" s="83" t="s">
        <v>54</v>
      </c>
      <c r="C37" s="83"/>
      <c r="D37" s="83"/>
      <c r="E37" s="83"/>
      <c r="F37" s="83"/>
      <c r="G37" s="83"/>
      <c r="I37" s="83" t="s">
        <v>55</v>
      </c>
      <c r="J37" s="83"/>
      <c r="K37" s="83"/>
      <c r="L37" s="83"/>
      <c r="M37" s="83"/>
      <c r="N37" s="83"/>
      <c r="Q37" s="152" t="s">
        <v>59</v>
      </c>
      <c r="R37" s="152"/>
      <c r="T37" s="152" t="s">
        <v>60</v>
      </c>
      <c r="U37" s="152"/>
    </row>
    <row r="38" spans="2:21" ht="16.2" x14ac:dyDescent="0.3">
      <c r="B38" s="84" t="s">
        <v>52</v>
      </c>
      <c r="C38" s="85"/>
      <c r="D38" s="85"/>
      <c r="E38" s="85" t="s">
        <v>56</v>
      </c>
      <c r="F38" s="85"/>
      <c r="G38" s="86"/>
      <c r="I38" s="84" t="s">
        <v>57</v>
      </c>
      <c r="J38" s="85"/>
      <c r="K38" s="85"/>
      <c r="L38" s="85" t="s">
        <v>58</v>
      </c>
      <c r="M38" s="85"/>
      <c r="N38" s="86"/>
      <c r="Q38" s="150" t="s">
        <v>4</v>
      </c>
      <c r="R38" s="151" t="s">
        <v>6</v>
      </c>
      <c r="S38" s="11"/>
      <c r="T38" s="150" t="s">
        <v>4</v>
      </c>
      <c r="U38" s="151" t="s">
        <v>6</v>
      </c>
    </row>
    <row r="39" spans="2:21" ht="15" thickBot="1" x14ac:dyDescent="0.35">
      <c r="B39" s="140">
        <f>'RLineaire R1'!O3</f>
        <v>1.0188963169296132E-3</v>
      </c>
      <c r="C39" s="137">
        <f>'RLineaire R1'!P3</f>
        <v>3.4386906584324971E-6</v>
      </c>
      <c r="D39" s="80">
        <f>C39/B39</f>
        <v>3.3749171542741445E-3</v>
      </c>
      <c r="E39" s="149">
        <f>'RLineaire R1'!O5</f>
        <v>-1.03134183655982E-5</v>
      </c>
      <c r="F39" s="136">
        <f>'RLineaire R1'!P5</f>
        <v>2.2282581164018708E-5</v>
      </c>
      <c r="G39" s="81">
        <f>ABS(F39/E39)</f>
        <v>2.1605427389957601</v>
      </c>
      <c r="I39" s="133">
        <f>'RLineaire R4'!O3*10^5</f>
        <v>2.0523270632961488E-2</v>
      </c>
      <c r="J39" s="134">
        <f>'RLineaire R4'!P3*10^5</f>
        <v>6.0942930070815552E-4</v>
      </c>
      <c r="K39" s="82">
        <f t="shared" ref="K39" si="26">J39/I39</f>
        <v>2.9694550717924019E-2</v>
      </c>
      <c r="L39" s="148">
        <f>'RLineaire R4'!O5*10^5</f>
        <v>-7.7562366799361826E-3</v>
      </c>
      <c r="M39" s="79">
        <f>'RLineaire R4'!P5*10^5</f>
        <v>7.2269991836041679E-3</v>
      </c>
      <c r="N39" s="81">
        <f>ABS(M39/L39)</f>
        <v>0.93176620077865269</v>
      </c>
      <c r="Q39" s="66">
        <f>MIN(B5:B14)</f>
        <v>2</v>
      </c>
      <c r="R39" s="155">
        <f>$B$39*Q39+$E$39</f>
        <v>2.0274792154936282E-3</v>
      </c>
      <c r="T39" s="66">
        <f>MIN(I5:I14)</f>
        <v>2</v>
      </c>
      <c r="U39" s="153">
        <f>($I$39*T39+$L$39)/10^5</f>
        <v>3.3290304585986794E-7</v>
      </c>
    </row>
    <row r="40" spans="2:21" ht="15" thickBot="1" x14ac:dyDescent="0.35">
      <c r="Q40" s="69">
        <f>MAX(B5:B14)</f>
        <v>20</v>
      </c>
      <c r="R40" s="156">
        <f>$B$39*Q40+$E$39</f>
        <v>2.0367612920226666E-2</v>
      </c>
      <c r="T40" s="69">
        <f>MAX(I5:I14)</f>
        <v>20</v>
      </c>
      <c r="U40" s="154">
        <f>($I$39*T40+$L$39)/10^5</f>
        <v>4.0270917597929357E-6</v>
      </c>
    </row>
    <row r="42" spans="2:21" ht="15" thickBot="1" x14ac:dyDescent="0.35">
      <c r="B42" s="83" t="s">
        <v>51</v>
      </c>
      <c r="C42" s="83"/>
      <c r="D42" s="83"/>
      <c r="E42" s="146"/>
      <c r="F42" s="83" t="s">
        <v>53</v>
      </c>
      <c r="G42" s="83"/>
      <c r="H42" s="83"/>
      <c r="I42" s="146"/>
      <c r="J42" s="146"/>
      <c r="K42" s="146"/>
    </row>
    <row r="43" spans="2:21" ht="16.2" x14ac:dyDescent="0.3">
      <c r="B43" s="84" t="s">
        <v>35</v>
      </c>
      <c r="C43" s="85"/>
      <c r="D43" s="86"/>
      <c r="F43" s="84" t="s">
        <v>45</v>
      </c>
      <c r="G43" s="85"/>
      <c r="H43" s="86"/>
    </row>
    <row r="44" spans="2:21" ht="15" thickBot="1" x14ac:dyDescent="0.35">
      <c r="B44" s="145">
        <f>1/B39</f>
        <v>981.45413167597246</v>
      </c>
      <c r="C44" s="144">
        <f>C39/B39^2</f>
        <v>3.3123263851264744</v>
      </c>
      <c r="D44" s="147">
        <f>C44/B44</f>
        <v>3.3749171542741445E-3</v>
      </c>
      <c r="F44" s="145">
        <f>1/I39</f>
        <v>48.725177282121187</v>
      </c>
      <c r="G44" s="144">
        <f>J39/I39^2</f>
        <v>1.4468722480437868</v>
      </c>
      <c r="H44" s="77">
        <f>G44/F44</f>
        <v>2.9694550717924019E-2</v>
      </c>
    </row>
  </sheetData>
  <mergeCells count="29">
    <mergeCell ref="Q37:R37"/>
    <mergeCell ref="T37:U37"/>
    <mergeCell ref="B42:D42"/>
    <mergeCell ref="F42:H42"/>
    <mergeCell ref="B43:D43"/>
    <mergeCell ref="F43:H43"/>
    <mergeCell ref="P26:U28"/>
    <mergeCell ref="B15:G15"/>
    <mergeCell ref="B19:D19"/>
    <mergeCell ref="F19:H19"/>
    <mergeCell ref="J19:L19"/>
    <mergeCell ref="B17:D18"/>
    <mergeCell ref="F17:H18"/>
    <mergeCell ref="J17:L18"/>
    <mergeCell ref="L4:N4"/>
    <mergeCell ref="I4:K4"/>
    <mergeCell ref="P4:R4"/>
    <mergeCell ref="S4:U4"/>
    <mergeCell ref="B3:G3"/>
    <mergeCell ref="E4:G4"/>
    <mergeCell ref="B4:D4"/>
    <mergeCell ref="I3:N3"/>
    <mergeCell ref="P3:U3"/>
    <mergeCell ref="B37:G37"/>
    <mergeCell ref="B38:D38"/>
    <mergeCell ref="I38:K38"/>
    <mergeCell ref="E38:G38"/>
    <mergeCell ref="L38:N38"/>
    <mergeCell ref="I37:N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C69B-4CD9-4625-85EA-6F29D33BCFB4}">
  <dimension ref="B2:X38"/>
  <sheetViews>
    <sheetView zoomScale="85" zoomScaleNormal="85" workbookViewId="0">
      <selection activeCell="O22" sqref="O22:P22"/>
    </sheetView>
  </sheetViews>
  <sheetFormatPr baseColWidth="10" defaultColWidth="11.44140625" defaultRowHeight="14.4" x14ac:dyDescent="0.3"/>
  <cols>
    <col min="1" max="1" width="4.44140625" customWidth="1"/>
    <col min="2" max="2" width="8" customWidth="1"/>
    <col min="3" max="3" width="10.44140625" customWidth="1"/>
    <col min="7" max="7" width="5" customWidth="1"/>
    <col min="8" max="8" width="10" customWidth="1"/>
    <col min="9" max="9" width="8.6640625" customWidth="1"/>
    <col min="10" max="10" width="8.33203125" customWidth="1"/>
    <col min="11" max="11" width="9.88671875" customWidth="1"/>
    <col min="12" max="12" width="9.33203125" customWidth="1"/>
    <col min="13" max="13" width="10.33203125" customWidth="1"/>
    <col min="14" max="14" width="6" customWidth="1"/>
    <col min="15" max="15" width="13.109375" customWidth="1"/>
    <col min="16" max="16" width="12.109375" bestFit="1" customWidth="1"/>
    <col min="18" max="18" width="5.109375" customWidth="1"/>
    <col min="19" max="19" width="11.88671875" customWidth="1"/>
    <col min="20" max="20" width="12.88671875" customWidth="1"/>
    <col min="21" max="21" width="5.109375" customWidth="1"/>
  </cols>
  <sheetData>
    <row r="2" spans="2:24" ht="16.8" x14ac:dyDescent="0.35">
      <c r="B2" s="12" t="s">
        <v>3</v>
      </c>
      <c r="C2" s="13" t="s">
        <v>4</v>
      </c>
      <c r="D2" s="14" t="s">
        <v>5</v>
      </c>
      <c r="E2" s="15" t="s">
        <v>6</v>
      </c>
      <c r="F2" s="16" t="s">
        <v>7</v>
      </c>
      <c r="G2" s="17"/>
      <c r="H2" s="18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20" t="s">
        <v>13</v>
      </c>
      <c r="N2" s="21" t="str">
        <f>IF(OR(M4="Erreur pente",M5="Pente nulle"), "&lt;--", "")</f>
        <v/>
      </c>
      <c r="O2" s="99" t="s">
        <v>14</v>
      </c>
      <c r="P2" s="100"/>
      <c r="Q2" s="101"/>
      <c r="R2" s="17" t="s">
        <v>15</v>
      </c>
      <c r="S2" s="102" t="s">
        <v>16</v>
      </c>
      <c r="T2" s="103"/>
      <c r="V2" s="93" t="s">
        <v>17</v>
      </c>
      <c r="W2" s="104"/>
      <c r="X2" s="94"/>
    </row>
    <row r="3" spans="2:24" ht="15.6" x14ac:dyDescent="0.35">
      <c r="B3" s="22">
        <v>1</v>
      </c>
      <c r="C3" s="65" cm="1">
        <f t="array" ref="C3:C12">'Tableaux et calculs'!B5:B14</f>
        <v>2</v>
      </c>
      <c r="D3" s="24" cm="1">
        <f t="array" ref="D3:D12">'Tableaux et calculs'!C5:C14</f>
        <v>5.0000000000000001E-3</v>
      </c>
      <c r="E3" s="24" cm="1">
        <f t="array" ref="E3:E12">'Tableaux et calculs'!B20:B29</f>
        <v>2.0299999999999997E-3</v>
      </c>
      <c r="F3" s="25" cm="1">
        <f t="array" ref="F3:F12">'Tableaux et calculs'!C20:C29</f>
        <v>2.0150000000000002E-5</v>
      </c>
      <c r="G3" s="26" t="str">
        <f>IF(OR($C$3="",$D$3="",$E$3="",$F$3="",$D$3+$F$3=0),"&lt;--","")</f>
        <v/>
      </c>
      <c r="H3" s="27">
        <f>IF(OR($C$3="",$D$3="",$E$3="",$F$3="",$C$4="",$D$4="",$E$4="",$F$4="",D3+F3=0,D4+F4=0),"Remplissez",1/(F3^2+$M$3^2*D3^2))</f>
        <v>2315335530.5510325</v>
      </c>
      <c r="I3" s="28">
        <f>IF(H3="Remplissez","au moins",H3*C3)</f>
        <v>4630671061.1020651</v>
      </c>
      <c r="J3" s="28">
        <f>IF(H3="Remplissez","les 2",H3*E3)</f>
        <v>4700131.1270185951</v>
      </c>
      <c r="K3" s="28">
        <f>IF(H3="Remplissez","premiers",H3*C3^2)</f>
        <v>9261342122.2041302</v>
      </c>
      <c r="L3" s="29">
        <f>IF(H3="Remplissez","points",H3*C3*E3)</f>
        <v>9400262.2540371902</v>
      </c>
      <c r="M3" s="2">
        <f>IF(OR($C$3="",$D$3="",$E$3="",$F$3="",$C$4="",$D$4="",$E$4="",$F$4="",D3+F3=0,D4+F4=0),"-",SLOPE(E3:E27,C3:C27))</f>
        <v>1.0174545454545456E-3</v>
      </c>
      <c r="N3" s="21" t="str">
        <f>IF(ISERROR(N2),"&lt;--","")</f>
        <v/>
      </c>
      <c r="O3" s="30">
        <f>IF(M3="-","-",(H30*L30-I30*J30)/M30)</f>
        <v>1.0188963169296132E-3</v>
      </c>
      <c r="P3" s="31">
        <f>IF(M3="-","-",SQRT(H30/M30))</f>
        <v>3.4386906584324971E-6</v>
      </c>
      <c r="Q3" s="32">
        <f>IF(M3="-","-",P3/O3)</f>
        <v>3.3749171542741445E-3</v>
      </c>
      <c r="S3" s="33" t="s">
        <v>18</v>
      </c>
      <c r="T3" s="34" t="s">
        <v>19</v>
      </c>
      <c r="V3" s="35">
        <f>IF(H3="Remplissez","",C3*$O$3+$O$5)</f>
        <v>2.0274792154936282E-3</v>
      </c>
      <c r="W3" s="36">
        <f>IF(H3="Remplissez", "", IF($S$8=1,C3*($O$3+$P$3)+($O$5+$P$5),C3*($O$3+$P$3)+($O$5-$P$5)))</f>
        <v>2.0120740156464745E-3</v>
      </c>
      <c r="X3" s="37">
        <f>IF(H3="Remplissez", "", IF($S$8=1,C3*($O$3-$P$3)+($O$5-$P$5),C3*($O$3-$P$3)+($O$5+$P$5)))</f>
        <v>2.0428844153407822E-3</v>
      </c>
    </row>
    <row r="4" spans="2:24" x14ac:dyDescent="0.3">
      <c r="B4" s="38">
        <v>2</v>
      </c>
      <c r="C4" s="39">
        <v>4</v>
      </c>
      <c r="D4" s="39">
        <v>7.0000000000000001E-3</v>
      </c>
      <c r="E4" s="39">
        <v>4.0599999999999994E-3</v>
      </c>
      <c r="F4" s="40">
        <v>3.0300000000000001E-5</v>
      </c>
      <c r="G4" s="26" t="str">
        <f>IF(OR($C$3="",$D$3="",$E$3="",$F$3="",$C$4="",$D$4="",$E$4="",$F$4="",$D$3+$F$3=0,$D$4+$F$4=0),"&lt;--","")</f>
        <v/>
      </c>
      <c r="H4" s="41">
        <f>IF(H3="Remplissez","Remplissez",1/(F4^2+$M$3^2*D4^2))</f>
        <v>1032188303.1293826</v>
      </c>
      <c r="I4" s="1">
        <f>IF(H4="Remplissez","au moins",H4*C4)</f>
        <v>4128753212.5175304</v>
      </c>
      <c r="J4" s="1">
        <f>IF(H4="Remplissez","les 2",H4*E4)</f>
        <v>4190684.5107052927</v>
      </c>
      <c r="K4" s="1">
        <f>IF(H4="Remplissez","premiers",H4*C4^2)</f>
        <v>16515012850.070122</v>
      </c>
      <c r="L4" s="42">
        <f>IF(H4="Remplissez","points",H4*C4*E4)</f>
        <v>16762738.042821171</v>
      </c>
      <c r="M4" s="21" t="str">
        <f>IF(ISERROR(M3),"Erreur pente","")</f>
        <v/>
      </c>
      <c r="N4" s="43"/>
      <c r="O4" s="105" t="s">
        <v>20</v>
      </c>
      <c r="P4" s="106"/>
      <c r="Q4" s="1"/>
      <c r="S4" s="44">
        <f>MIN(C3:C27)*(O3+P3)+(O5+P5)</f>
        <v>2.0566391779745122E-3</v>
      </c>
      <c r="T4" s="45">
        <f>MIN(C3:C27)*(O3-P3)+(O5-P5)</f>
        <v>1.9983192530127446E-3</v>
      </c>
      <c r="V4" s="44">
        <f>IF(H4="Remplissez","",C4*$O$3+$O$5)</f>
        <v>4.0652718493528551E-3</v>
      </c>
      <c r="W4">
        <f>IF(H4="Remplissez", "", IF($S$8=1,C4*($O$3+$P$3)+($O$5+$P$5),C4*($O$3+$P$3)+($O$5-$P$5)))</f>
        <v>4.056744030822566E-3</v>
      </c>
      <c r="X4" s="45">
        <f>IF(H4="Remplissez", "", IF($S$8=1,C4*($O$3-$P$3)+($O$5-$P$5),C4*($O$3-$P$3)+($O$5+$P$5)))</f>
        <v>4.0737996678831432E-3</v>
      </c>
    </row>
    <row r="5" spans="2:24" ht="15.6" x14ac:dyDescent="0.35">
      <c r="B5" s="38">
        <v>3</v>
      </c>
      <c r="C5" s="39">
        <v>6</v>
      </c>
      <c r="D5" s="39">
        <v>9.0000000000000011E-3</v>
      </c>
      <c r="E5" s="39">
        <v>6.0999999999999995E-3</v>
      </c>
      <c r="F5" s="40">
        <v>4.0500000000000002E-5</v>
      </c>
      <c r="G5" s="21" t="str">
        <f>IF(AND(NOT(AND(C5="",D5="",E5="",F5="")),H5=""),"&lt;--","")</f>
        <v/>
      </c>
      <c r="H5" s="41">
        <f>IF(OR(C5="",D5="",E5="",F5="",$H$3="Remplissez",D5+F5=0),"",1/(F5^2+$M$3^2*D5^2))</f>
        <v>580011981.84572172</v>
      </c>
      <c r="I5" s="1">
        <f>IF(H5="","J'aime",H5*C5)</f>
        <v>3480071891.0743303</v>
      </c>
      <c r="J5" s="1">
        <f>IF(H5="","la",H5*E5)</f>
        <v>3538073.0892589022</v>
      </c>
      <c r="K5" s="1">
        <f>IF(H5="","physique",H5*C5^2)</f>
        <v>20880431346.445984</v>
      </c>
      <c r="L5" s="42">
        <f>IF(H5="","",H5*C5*E5)</f>
        <v>21228438.535553414</v>
      </c>
      <c r="M5" s="21" t="str">
        <f>IF(M3=0,"Pente nulle","")</f>
        <v/>
      </c>
      <c r="O5" s="30">
        <f>IF(M3="-","-",(K30*J30-I30*L30)/M30)</f>
        <v>-1.03134183655982E-5</v>
      </c>
      <c r="P5" s="46">
        <f>IF(M3="-","-",SQRT(K30/M30))</f>
        <v>2.2282581164018708E-5</v>
      </c>
      <c r="Q5" s="47"/>
      <c r="S5" s="33" t="s">
        <v>21</v>
      </c>
      <c r="T5" s="34" t="s">
        <v>22</v>
      </c>
      <c r="V5" s="44">
        <f>IF(L5="","",C5*$O$3+$O$5)</f>
        <v>6.1030644832120815E-3</v>
      </c>
      <c r="W5">
        <f t="shared" ref="W5:W28" si="0">IF(H5="", "", IF($S$8=1,C5*($O$3+$P$3)+($O$5+$P$5),C5*($O$3+$P$3)+($O$5-$P$5)))</f>
        <v>6.1014140459986575E-3</v>
      </c>
      <c r="X5" s="45">
        <f t="shared" ref="X5:X28" si="1">IF(H5="", "", IF($S$8=1,C5*($O$3-$P$3)+($O$5-$P$5),C5*($O$3-$P$3)+($O$5+$P$5)))</f>
        <v>6.1047149204255047E-3</v>
      </c>
    </row>
    <row r="6" spans="2:24" x14ac:dyDescent="0.3">
      <c r="B6" s="38">
        <v>4</v>
      </c>
      <c r="C6" s="39">
        <v>8</v>
      </c>
      <c r="D6" s="39">
        <v>1.0999999999999999E-2</v>
      </c>
      <c r="E6" s="39">
        <v>8.1400000000000014E-3</v>
      </c>
      <c r="F6" s="40">
        <v>5.0700000000000006E-5</v>
      </c>
      <c r="G6" s="21" t="str">
        <f>IF(AND(NOT(AND(C6="",D6="",E6="",F6="")),H6=""),"&lt;--","")</f>
        <v/>
      </c>
      <c r="H6" s="41">
        <f>IF(OR(C6="",D6="",E6="",F6="",$H$3="Remplissez",D6+F6=0),"",1/(F6^2+$M$3^2*D6^2))</f>
        <v>370954160.99252701</v>
      </c>
      <c r="I6" s="1">
        <f t="shared" ref="I6:I27" si="2">IF(H6="","J'aime",H6*C6)</f>
        <v>2967633287.9402161</v>
      </c>
      <c r="J6" s="1">
        <f t="shared" ref="J6:J27" si="3">IF(H6="","la",H6*E6)</f>
        <v>3019566.8704791702</v>
      </c>
      <c r="K6" s="1">
        <f t="shared" ref="K6:K27" si="4">IF(H6="","physique",H6*C6^2)</f>
        <v>23741066303.521729</v>
      </c>
      <c r="L6" s="42">
        <f>IF(H6="","",H6*C6*E6)</f>
        <v>24156534.963833362</v>
      </c>
      <c r="M6" s="21"/>
      <c r="O6" s="1"/>
      <c r="P6" s="47"/>
      <c r="Q6" s="47"/>
      <c r="S6" s="44">
        <f>MAX(C3:C27)*(O3+P3)+(O5+P5)</f>
        <v>2.0458669314559336E-2</v>
      </c>
      <c r="T6" s="45">
        <f>MAX(C3:C27)*(O3-P3)+(O5-P5)</f>
        <v>2.0276556525893996E-2</v>
      </c>
      <c r="V6" s="44">
        <f>IF(L6="","",C6*$O$3+$O$5)</f>
        <v>8.1408571170713071E-3</v>
      </c>
      <c r="W6">
        <f>IF(H6="", "", IF($S$8=1,C6*($O$3+$P$3)+($O$5+$P$5),C6*($O$3+$P$3)+($O$5-$P$5)))</f>
        <v>8.1460840611747489E-3</v>
      </c>
      <c r="X6" s="45">
        <f>IF(H6="", "", IF($S$8=1,C6*($O$3-$P$3)+($O$5-$P$5),C6*($O$3-$P$3)+($O$5+$P$5)))</f>
        <v>8.1356301729678671E-3</v>
      </c>
    </row>
    <row r="7" spans="2:24" x14ac:dyDescent="0.3">
      <c r="B7" s="38">
        <v>5</v>
      </c>
      <c r="C7" s="39">
        <v>10</v>
      </c>
      <c r="D7" s="39">
        <v>1.3000000000000001E-2</v>
      </c>
      <c r="E7" s="39">
        <v>1.018E-2</v>
      </c>
      <c r="F7" s="40">
        <v>6.0900000000000003E-5</v>
      </c>
      <c r="G7" s="21" t="str">
        <f>IF(AND(NOT(AND(C7="",D7="",E7="",F7="")),H7=""),"&lt;--","")</f>
        <v/>
      </c>
      <c r="H7" s="41">
        <f>IF(OR(C7="",D7="",E7="",F7="",$H$3="Remplissez",D7+F7=0),"",1/(F7^2+$M$3^2*D7^2))</f>
        <v>257482365.17299882</v>
      </c>
      <c r="I7" s="1">
        <f t="shared" si="2"/>
        <v>2574823651.7299881</v>
      </c>
      <c r="J7" s="1">
        <f t="shared" si="3"/>
        <v>2621170.477461128</v>
      </c>
      <c r="K7" s="1">
        <f t="shared" si="4"/>
        <v>25748236517.299881</v>
      </c>
      <c r="L7" s="42">
        <f>IF(H7="","",H7*C7*E7)</f>
        <v>26211704.774611279</v>
      </c>
      <c r="M7" s="21"/>
      <c r="O7" s="47"/>
      <c r="P7" s="47"/>
      <c r="Q7" s="47"/>
      <c r="S7" s="107" t="s">
        <v>23</v>
      </c>
      <c r="T7" s="108"/>
      <c r="V7" s="44">
        <f>IF(L7="","",C7*$O$3+$O$5)</f>
        <v>1.0178649750930533E-2</v>
      </c>
      <c r="W7">
        <f t="shared" si="0"/>
        <v>1.019075407635084E-2</v>
      </c>
      <c r="X7" s="45">
        <f t="shared" si="1"/>
        <v>1.0166545425510229E-2</v>
      </c>
    </row>
    <row r="8" spans="2:24" x14ac:dyDescent="0.3">
      <c r="B8" s="38">
        <v>6</v>
      </c>
      <c r="C8" s="39">
        <v>12</v>
      </c>
      <c r="D8" s="39">
        <v>1.4999999999999999E-2</v>
      </c>
      <c r="E8" s="39">
        <v>1.222E-2</v>
      </c>
      <c r="F8" s="40">
        <v>7.1099999999999994E-5</v>
      </c>
      <c r="G8" s="21" t="str">
        <f t="shared" ref="G8:G27" si="5">IF(AND(NOT(AND(C8="",D8="",E8="",F8="")),H8=""),"&lt;--","")</f>
        <v/>
      </c>
      <c r="H8" s="41">
        <f t="shared" ref="H8:H27" si="6">IF(OR(C8="",D8="",E8="",F8="",$H$3="Remplissez",D8+F8=0),"",1/(F8^2+$M$3^2*D8^2))</f>
        <v>189102653.46649131</v>
      </c>
      <c r="I8" s="1">
        <f t="shared" si="2"/>
        <v>2269231841.5978956</v>
      </c>
      <c r="J8" s="1">
        <f t="shared" si="3"/>
        <v>2310834.4253605236</v>
      </c>
      <c r="K8" s="1">
        <f t="shared" si="4"/>
        <v>27230782099.174747</v>
      </c>
      <c r="L8" s="42">
        <f t="shared" ref="L8:L27" si="7">IF(H8="","",H8*C8*E8)</f>
        <v>27730013.104326285</v>
      </c>
      <c r="M8" s="21"/>
      <c r="O8" s="1"/>
      <c r="P8" s="47"/>
      <c r="Q8" s="47"/>
      <c r="S8" s="48">
        <f>IF(AND(T4&gt;S4,T6&lt;S6),1,2)</f>
        <v>2</v>
      </c>
      <c r="T8" s="49"/>
      <c r="V8" s="44">
        <f t="shared" ref="V8:V27" si="8">IF(L8="","",C8*$O$3+$O$5)</f>
        <v>1.221644238478976E-2</v>
      </c>
      <c r="W8">
        <f t="shared" si="0"/>
        <v>1.2235424091526932E-2</v>
      </c>
      <c r="X8" s="45">
        <f t="shared" si="1"/>
        <v>1.219746067805259E-2</v>
      </c>
    </row>
    <row r="9" spans="2:24" x14ac:dyDescent="0.3">
      <c r="B9" s="38">
        <v>7</v>
      </c>
      <c r="C9" s="39">
        <v>14</v>
      </c>
      <c r="D9" s="39">
        <v>1.7000000000000001E-2</v>
      </c>
      <c r="E9" s="39">
        <v>1.4250000000000001E-2</v>
      </c>
      <c r="F9" s="40">
        <v>8.1249999999999996E-5</v>
      </c>
      <c r="G9" s="21" t="str">
        <f t="shared" si="5"/>
        <v/>
      </c>
      <c r="H9" s="41">
        <f t="shared" si="6"/>
        <v>144912010.18380919</v>
      </c>
      <c r="I9" s="1">
        <f t="shared" si="2"/>
        <v>2028768142.5733287</v>
      </c>
      <c r="J9" s="1">
        <f t="shared" si="3"/>
        <v>2064996.145119281</v>
      </c>
      <c r="K9" s="1">
        <f t="shared" si="4"/>
        <v>28402753996.0266</v>
      </c>
      <c r="L9" s="42">
        <f t="shared" si="7"/>
        <v>28909946.031669937</v>
      </c>
      <c r="M9" s="21"/>
      <c r="O9" s="1"/>
      <c r="P9" s="47"/>
      <c r="Q9" s="47"/>
      <c r="V9" s="44">
        <f t="shared" si="8"/>
        <v>1.4254235018648987E-2</v>
      </c>
      <c r="W9">
        <f t="shared" si="0"/>
        <v>1.4280094106703023E-2</v>
      </c>
      <c r="X9" s="45">
        <f t="shared" si="1"/>
        <v>1.4228375930594951E-2</v>
      </c>
    </row>
    <row r="10" spans="2:24" x14ac:dyDescent="0.3">
      <c r="B10" s="38">
        <v>8</v>
      </c>
      <c r="C10" s="39">
        <v>16</v>
      </c>
      <c r="D10" s="39">
        <v>1.9E-2</v>
      </c>
      <c r="E10" s="39">
        <v>1.6300000000000002E-2</v>
      </c>
      <c r="F10" s="40">
        <v>9.1500000000000001E-5</v>
      </c>
      <c r="G10" s="21" t="str">
        <f t="shared" si="5"/>
        <v/>
      </c>
      <c r="H10" s="41">
        <f t="shared" si="6"/>
        <v>114338477.71026136</v>
      </c>
      <c r="I10" s="1">
        <f>IF(H10="","J'aime",H10*C10)</f>
        <v>1829415643.3641818</v>
      </c>
      <c r="J10" s="1">
        <f t="shared" si="3"/>
        <v>1863717.1866772603</v>
      </c>
      <c r="K10" s="1">
        <f t="shared" si="4"/>
        <v>29270650293.826908</v>
      </c>
      <c r="L10" s="42">
        <f t="shared" si="7"/>
        <v>29819474.986836165</v>
      </c>
      <c r="M10" s="21"/>
      <c r="O10" s="107" t="s">
        <v>24</v>
      </c>
      <c r="P10" s="108"/>
      <c r="Q10" s="1"/>
      <c r="S10" t="s">
        <v>25</v>
      </c>
      <c r="T10" t="s">
        <v>26</v>
      </c>
      <c r="V10" s="44">
        <f t="shared" si="8"/>
        <v>1.6292027652508215E-2</v>
      </c>
      <c r="W10">
        <f t="shared" si="0"/>
        <v>1.6324764121879116E-2</v>
      </c>
      <c r="X10" s="45">
        <f t="shared" si="1"/>
        <v>1.6259291183137313E-2</v>
      </c>
    </row>
    <row r="11" spans="2:24" x14ac:dyDescent="0.3">
      <c r="B11" s="38">
        <v>9</v>
      </c>
      <c r="C11" s="39">
        <v>18</v>
      </c>
      <c r="D11" s="39">
        <v>2.1000000000000001E-2</v>
      </c>
      <c r="E11" s="39">
        <v>1.8339999999999999E-2</v>
      </c>
      <c r="F11" s="40">
        <v>1.0170000000000001E-4</v>
      </c>
      <c r="G11" s="21" t="str">
        <f t="shared" si="5"/>
        <v/>
      </c>
      <c r="H11" s="41">
        <f t="shared" si="6"/>
        <v>92597571.729832813</v>
      </c>
      <c r="I11" s="1">
        <f t="shared" si="2"/>
        <v>1666756291.1369905</v>
      </c>
      <c r="J11" s="1">
        <f t="shared" si="3"/>
        <v>1698239.4655251338</v>
      </c>
      <c r="K11" s="1">
        <f t="shared" si="4"/>
        <v>30001613240.465832</v>
      </c>
      <c r="L11" s="42">
        <f t="shared" si="7"/>
        <v>30568310.379452404</v>
      </c>
      <c r="M11" s="21"/>
      <c r="O11" s="89"/>
      <c r="P11" s="91"/>
      <c r="Q11" s="47"/>
      <c r="S11" s="50" cm="1">
        <f t="array" ref="S11">LOOKUP(2,1/(ISNUMBER(F:F)),F:F)</f>
        <v>3.436E-4</v>
      </c>
      <c r="T11" s="50" cm="1">
        <f t="array" ref="T11">LOOKUP(2,1/(ISNUMBER(D:D)),D:D)</f>
        <v>0.05</v>
      </c>
      <c r="V11" s="44">
        <f t="shared" si="8"/>
        <v>1.832982028636744E-2</v>
      </c>
      <c r="W11">
        <f t="shared" si="0"/>
        <v>1.8369434137055204E-2</v>
      </c>
      <c r="X11" s="45">
        <f t="shared" si="1"/>
        <v>1.8290206435679676E-2</v>
      </c>
    </row>
    <row r="12" spans="2:24" x14ac:dyDescent="0.3">
      <c r="B12" s="38">
        <v>10</v>
      </c>
      <c r="C12" s="39">
        <v>20</v>
      </c>
      <c r="D12" s="39">
        <v>0.05</v>
      </c>
      <c r="E12" s="39">
        <v>2.0300000000000002E-2</v>
      </c>
      <c r="F12" s="40">
        <v>3.436E-4</v>
      </c>
      <c r="G12" s="21" t="str">
        <f t="shared" si="5"/>
        <v/>
      </c>
      <c r="H12" s="41">
        <f t="shared" si="6"/>
        <v>8288506.7143535195</v>
      </c>
      <c r="I12" s="1">
        <f t="shared" si="2"/>
        <v>165770134.28707039</v>
      </c>
      <c r="J12" s="1">
        <f t="shared" si="3"/>
        <v>168256.68630137647</v>
      </c>
      <c r="K12" s="1">
        <f t="shared" si="4"/>
        <v>3315402685.7414079</v>
      </c>
      <c r="L12" s="42">
        <f t="shared" si="7"/>
        <v>3365133.7260275292</v>
      </c>
      <c r="M12" s="21"/>
      <c r="O12" s="90"/>
      <c r="P12" s="92"/>
      <c r="Q12" s="47"/>
      <c r="S12" t="s">
        <v>27</v>
      </c>
      <c r="T12" t="s">
        <v>28</v>
      </c>
      <c r="V12" s="44">
        <f t="shared" si="8"/>
        <v>2.0367612920226666E-2</v>
      </c>
      <c r="W12">
        <f t="shared" si="0"/>
        <v>2.0414104152231299E-2</v>
      </c>
      <c r="X12" s="45">
        <f t="shared" si="1"/>
        <v>2.0321121688222036E-2</v>
      </c>
    </row>
    <row r="13" spans="2:24" x14ac:dyDescent="0.3">
      <c r="B13" s="38">
        <v>11</v>
      </c>
      <c r="C13" s="39"/>
      <c r="D13" s="39"/>
      <c r="E13" s="39"/>
      <c r="F13" s="40"/>
      <c r="G13" s="21" t="str">
        <f t="shared" si="5"/>
        <v/>
      </c>
      <c r="H13" s="41" t="str">
        <f t="shared" si="6"/>
        <v/>
      </c>
      <c r="I13" s="1" t="str">
        <f t="shared" si="2"/>
        <v>J'aime</v>
      </c>
      <c r="J13" s="1" t="str">
        <f t="shared" si="3"/>
        <v>la</v>
      </c>
      <c r="K13" s="1" t="str">
        <f t="shared" si="4"/>
        <v>physique</v>
      </c>
      <c r="L13" s="42" t="str">
        <f t="shared" si="7"/>
        <v/>
      </c>
      <c r="M13" s="21"/>
      <c r="O13" s="51">
        <f>IF(M3="-","-",(S11+F3)/ABS(S13-E3))</f>
        <v>1.9909688013136289E-2</v>
      </c>
      <c r="P13" s="51">
        <f>IF(M3="-","-",(T11+D3)/ABS(T13-C3))</f>
        <v>3.0555555555555557E-3</v>
      </c>
      <c r="Q13" s="52"/>
      <c r="S13" s="50" cm="1">
        <f t="array" ref="S13">LOOKUP(2,1/(ISNUMBER(E:E)),E:E)</f>
        <v>2.0300000000000002E-2</v>
      </c>
      <c r="T13" s="50" cm="1">
        <f t="array" ref="T13">LOOKUP(2,1/(ISNUMBER(C:C)),C:C)</f>
        <v>20</v>
      </c>
      <c r="V13" s="44" t="str">
        <f t="shared" si="8"/>
        <v/>
      </c>
      <c r="W13" t="str">
        <f t="shared" si="0"/>
        <v/>
      </c>
      <c r="X13" s="45" t="str">
        <f t="shared" si="1"/>
        <v/>
      </c>
    </row>
    <row r="14" spans="2:24" x14ac:dyDescent="0.3">
      <c r="B14" s="38">
        <v>12</v>
      </c>
      <c r="C14" s="39"/>
      <c r="D14" s="39"/>
      <c r="E14" s="39"/>
      <c r="F14" s="40"/>
      <c r="G14" s="21" t="str">
        <f t="shared" si="5"/>
        <v/>
      </c>
      <c r="H14" s="41" t="str">
        <f t="shared" si="6"/>
        <v/>
      </c>
      <c r="I14" s="1" t="str">
        <f t="shared" si="2"/>
        <v>J'aime</v>
      </c>
      <c r="J14" s="1" t="str">
        <f t="shared" si="3"/>
        <v>la</v>
      </c>
      <c r="K14" s="1" t="str">
        <f t="shared" si="4"/>
        <v>physique</v>
      </c>
      <c r="L14" s="42" t="str">
        <f t="shared" si="7"/>
        <v/>
      </c>
      <c r="M14" s="21"/>
      <c r="O14" s="93"/>
      <c r="P14" s="94"/>
      <c r="Q14" s="1"/>
      <c r="V14" s="44" t="str">
        <f t="shared" si="8"/>
        <v/>
      </c>
      <c r="W14" t="str">
        <f t="shared" si="0"/>
        <v/>
      </c>
      <c r="X14" s="45" t="str">
        <f t="shared" si="1"/>
        <v/>
      </c>
    </row>
    <row r="15" spans="2:24" x14ac:dyDescent="0.3">
      <c r="B15" s="38">
        <v>13</v>
      </c>
      <c r="C15" s="39"/>
      <c r="D15" s="39"/>
      <c r="E15" s="39"/>
      <c r="F15" s="40"/>
      <c r="G15" s="21" t="str">
        <f t="shared" si="5"/>
        <v/>
      </c>
      <c r="H15" s="41" t="str">
        <f t="shared" si="6"/>
        <v/>
      </c>
      <c r="I15" s="1" t="str">
        <f t="shared" si="2"/>
        <v>J'aime</v>
      </c>
      <c r="J15" s="1" t="str">
        <f t="shared" si="3"/>
        <v>la</v>
      </c>
      <c r="K15" s="1" t="str">
        <f t="shared" si="4"/>
        <v>physique</v>
      </c>
      <c r="L15" s="42" t="str">
        <f t="shared" si="7"/>
        <v/>
      </c>
      <c r="M15" s="21"/>
      <c r="O15" s="95"/>
      <c r="P15" s="96"/>
      <c r="Q15" s="1"/>
      <c r="V15" s="44" t="str">
        <f t="shared" si="8"/>
        <v/>
      </c>
      <c r="W15" t="str">
        <f t="shared" si="0"/>
        <v/>
      </c>
      <c r="X15" s="45" t="str">
        <f t="shared" si="1"/>
        <v/>
      </c>
    </row>
    <row r="16" spans="2:24" x14ac:dyDescent="0.3">
      <c r="B16" s="38">
        <v>14</v>
      </c>
      <c r="C16" s="39"/>
      <c r="D16" s="39"/>
      <c r="E16" s="39"/>
      <c r="F16" s="40"/>
      <c r="G16" s="21" t="str">
        <f t="shared" si="5"/>
        <v/>
      </c>
      <c r="H16" s="41" t="str">
        <f t="shared" si="6"/>
        <v/>
      </c>
      <c r="I16" s="1" t="str">
        <f t="shared" si="2"/>
        <v>J'aime</v>
      </c>
      <c r="J16" s="1" t="str">
        <f t="shared" si="3"/>
        <v>la</v>
      </c>
      <c r="K16" s="1" t="str">
        <f t="shared" si="4"/>
        <v>physique</v>
      </c>
      <c r="L16" s="42" t="str">
        <f t="shared" si="7"/>
        <v/>
      </c>
      <c r="M16" s="21"/>
      <c r="O16" s="97">
        <f>IF(O13="-","-",O13+P13)</f>
        <v>2.2965243568691843E-2</v>
      </c>
      <c r="P16" s="97"/>
      <c r="Q16" s="52"/>
      <c r="V16" s="44" t="str">
        <f t="shared" si="8"/>
        <v/>
      </c>
      <c r="W16" t="str">
        <f t="shared" si="0"/>
        <v/>
      </c>
      <c r="X16" s="45" t="str">
        <f t="shared" si="1"/>
        <v/>
      </c>
    </row>
    <row r="17" spans="2:24" x14ac:dyDescent="0.3">
      <c r="B17" s="38">
        <v>15</v>
      </c>
      <c r="C17" s="39"/>
      <c r="D17" s="39"/>
      <c r="E17" s="39"/>
      <c r="F17" s="40"/>
      <c r="G17" s="21" t="str">
        <f t="shared" si="5"/>
        <v/>
      </c>
      <c r="H17" s="41" t="str">
        <f t="shared" si="6"/>
        <v/>
      </c>
      <c r="I17" s="1" t="str">
        <f t="shared" si="2"/>
        <v>J'aime</v>
      </c>
      <c r="J17" s="1" t="str">
        <f t="shared" si="3"/>
        <v>la</v>
      </c>
      <c r="K17" s="1" t="str">
        <f t="shared" si="4"/>
        <v>physique</v>
      </c>
      <c r="L17" s="42" t="str">
        <f t="shared" si="7"/>
        <v/>
      </c>
      <c r="M17" s="21"/>
      <c r="O17" s="1"/>
      <c r="V17" s="44" t="str">
        <f t="shared" si="8"/>
        <v/>
      </c>
      <c r="W17" t="str">
        <f t="shared" si="0"/>
        <v/>
      </c>
      <c r="X17" s="45" t="str">
        <f t="shared" si="1"/>
        <v/>
      </c>
    </row>
    <row r="18" spans="2:24" x14ac:dyDescent="0.3">
      <c r="B18" s="38">
        <v>16</v>
      </c>
      <c r="C18" s="39"/>
      <c r="D18" s="39"/>
      <c r="E18" s="39"/>
      <c r="F18" s="40"/>
      <c r="G18" s="21" t="str">
        <f t="shared" si="5"/>
        <v/>
      </c>
      <c r="H18" s="41" t="str">
        <f t="shared" si="6"/>
        <v/>
      </c>
      <c r="I18" s="1" t="str">
        <f t="shared" si="2"/>
        <v>J'aime</v>
      </c>
      <c r="J18" s="1" t="str">
        <f t="shared" si="3"/>
        <v>la</v>
      </c>
      <c r="K18" s="1" t="str">
        <f t="shared" si="4"/>
        <v>physique</v>
      </c>
      <c r="L18" s="42" t="str">
        <f t="shared" si="7"/>
        <v/>
      </c>
      <c r="M18" s="21"/>
      <c r="O18" s="1"/>
      <c r="P18" s="47"/>
      <c r="Q18" s="47"/>
      <c r="V18" s="44" t="str">
        <f t="shared" si="8"/>
        <v/>
      </c>
      <c r="W18" t="str">
        <f t="shared" si="0"/>
        <v/>
      </c>
      <c r="X18" s="45" t="str">
        <f t="shared" si="1"/>
        <v/>
      </c>
    </row>
    <row r="19" spans="2:24" x14ac:dyDescent="0.3">
      <c r="B19" s="38">
        <v>17</v>
      </c>
      <c r="C19" s="39"/>
      <c r="D19" s="39"/>
      <c r="E19" s="39"/>
      <c r="F19" s="40"/>
      <c r="G19" s="21" t="str">
        <f t="shared" si="5"/>
        <v/>
      </c>
      <c r="H19" s="41" t="str">
        <f t="shared" si="6"/>
        <v/>
      </c>
      <c r="I19" s="1" t="str">
        <f t="shared" si="2"/>
        <v>J'aime</v>
      </c>
      <c r="J19" s="1" t="str">
        <f t="shared" si="3"/>
        <v>la</v>
      </c>
      <c r="K19" s="1" t="str">
        <f t="shared" si="4"/>
        <v>physique</v>
      </c>
      <c r="L19" s="42" t="str">
        <f t="shared" si="7"/>
        <v/>
      </c>
      <c r="M19" s="21"/>
      <c r="O19" s="47"/>
      <c r="P19" s="47"/>
      <c r="Q19" s="47"/>
      <c r="V19" s="44" t="str">
        <f t="shared" si="8"/>
        <v/>
      </c>
      <c r="W19" t="str">
        <f t="shared" si="0"/>
        <v/>
      </c>
      <c r="X19" s="45" t="str">
        <f t="shared" si="1"/>
        <v/>
      </c>
    </row>
    <row r="20" spans="2:24" x14ac:dyDescent="0.3">
      <c r="B20" s="38">
        <v>18</v>
      </c>
      <c r="C20" s="39"/>
      <c r="D20" s="39"/>
      <c r="E20" s="39"/>
      <c r="F20" s="40"/>
      <c r="G20" s="21" t="str">
        <f t="shared" si="5"/>
        <v/>
      </c>
      <c r="H20" s="41" t="str">
        <f t="shared" si="6"/>
        <v/>
      </c>
      <c r="I20" s="1" t="str">
        <f t="shared" si="2"/>
        <v>J'aime</v>
      </c>
      <c r="J20" s="1" t="str">
        <f t="shared" si="3"/>
        <v>la</v>
      </c>
      <c r="K20" s="1" t="str">
        <f t="shared" si="4"/>
        <v>physique</v>
      </c>
      <c r="L20" s="42" t="str">
        <f t="shared" si="7"/>
        <v/>
      </c>
      <c r="M20" s="21"/>
      <c r="O20" s="1"/>
      <c r="P20" s="47"/>
      <c r="Q20" s="47"/>
      <c r="V20" s="44" t="str">
        <f t="shared" si="8"/>
        <v/>
      </c>
      <c r="W20" t="str">
        <f t="shared" si="0"/>
        <v/>
      </c>
      <c r="X20" s="45" t="str">
        <f t="shared" si="1"/>
        <v/>
      </c>
    </row>
    <row r="21" spans="2:24" x14ac:dyDescent="0.3">
      <c r="B21" s="38">
        <v>19</v>
      </c>
      <c r="C21" s="39"/>
      <c r="D21" s="39"/>
      <c r="E21" s="39"/>
      <c r="F21" s="40"/>
      <c r="G21" s="21" t="str">
        <f t="shared" si="5"/>
        <v/>
      </c>
      <c r="H21" s="41" t="str">
        <f t="shared" si="6"/>
        <v/>
      </c>
      <c r="I21" s="1" t="str">
        <f t="shared" si="2"/>
        <v>J'aime</v>
      </c>
      <c r="J21" s="1" t="str">
        <f>IF(H21="","la",H21*E21)</f>
        <v>la</v>
      </c>
      <c r="K21" s="1" t="str">
        <f t="shared" si="4"/>
        <v>physique</v>
      </c>
      <c r="L21" s="42" t="str">
        <f t="shared" si="7"/>
        <v/>
      </c>
      <c r="V21" s="44" t="str">
        <f t="shared" si="8"/>
        <v/>
      </c>
      <c r="W21" t="str">
        <f t="shared" si="0"/>
        <v/>
      </c>
      <c r="X21" s="45" t="str">
        <f t="shared" si="1"/>
        <v/>
      </c>
    </row>
    <row r="22" spans="2:24" x14ac:dyDescent="0.3">
      <c r="B22" s="38">
        <v>20</v>
      </c>
      <c r="C22" s="39"/>
      <c r="D22" s="39"/>
      <c r="E22" s="39"/>
      <c r="F22" s="40"/>
      <c r="G22" s="21" t="str">
        <f t="shared" si="5"/>
        <v/>
      </c>
      <c r="H22" s="41" t="str">
        <f t="shared" si="6"/>
        <v/>
      </c>
      <c r="I22" s="1" t="str">
        <f t="shared" si="2"/>
        <v>J'aime</v>
      </c>
      <c r="J22" s="1" t="str">
        <f t="shared" si="3"/>
        <v>la</v>
      </c>
      <c r="K22" s="1" t="str">
        <f t="shared" si="4"/>
        <v>physique</v>
      </c>
      <c r="L22" s="42" t="str">
        <f t="shared" si="7"/>
        <v/>
      </c>
      <c r="O22" s="98"/>
      <c r="P22" s="98"/>
      <c r="Q22" s="1"/>
      <c r="V22" s="44" t="str">
        <f t="shared" si="8"/>
        <v/>
      </c>
      <c r="W22" t="str">
        <f t="shared" si="0"/>
        <v/>
      </c>
      <c r="X22" s="45" t="str">
        <f t="shared" si="1"/>
        <v/>
      </c>
    </row>
    <row r="23" spans="2:24" x14ac:dyDescent="0.3">
      <c r="B23" s="38">
        <v>21</v>
      </c>
      <c r="C23" s="39"/>
      <c r="D23" s="39"/>
      <c r="E23" s="39"/>
      <c r="F23" s="40"/>
      <c r="G23" s="21" t="str">
        <f t="shared" si="5"/>
        <v/>
      </c>
      <c r="H23" s="41" t="str">
        <f t="shared" si="6"/>
        <v/>
      </c>
      <c r="I23" s="1" t="str">
        <f t="shared" si="2"/>
        <v>J'aime</v>
      </c>
      <c r="J23" s="1" t="str">
        <f t="shared" si="3"/>
        <v>la</v>
      </c>
      <c r="K23" s="1" t="str">
        <f t="shared" si="4"/>
        <v>physique</v>
      </c>
      <c r="L23" s="42" t="str">
        <f t="shared" si="7"/>
        <v/>
      </c>
      <c r="V23" s="44" t="str">
        <f t="shared" si="8"/>
        <v/>
      </c>
      <c r="W23" t="str">
        <f t="shared" si="0"/>
        <v/>
      </c>
      <c r="X23" s="45" t="str">
        <f t="shared" si="1"/>
        <v/>
      </c>
    </row>
    <row r="24" spans="2:24" x14ac:dyDescent="0.3">
      <c r="B24" s="38">
        <v>22</v>
      </c>
      <c r="C24" s="39"/>
      <c r="D24" s="39"/>
      <c r="E24" s="39"/>
      <c r="F24" s="40"/>
      <c r="G24" s="21" t="str">
        <f t="shared" si="5"/>
        <v/>
      </c>
      <c r="H24" s="41" t="str">
        <f t="shared" si="6"/>
        <v/>
      </c>
      <c r="I24" s="1" t="str">
        <f t="shared" si="2"/>
        <v>J'aime</v>
      </c>
      <c r="J24" s="1" t="str">
        <f t="shared" si="3"/>
        <v>la</v>
      </c>
      <c r="K24" s="1" t="str">
        <f t="shared" si="4"/>
        <v>physique</v>
      </c>
      <c r="L24" s="42" t="str">
        <f t="shared" si="7"/>
        <v/>
      </c>
      <c r="V24" s="44" t="str">
        <f t="shared" si="8"/>
        <v/>
      </c>
      <c r="W24" t="str">
        <f t="shared" si="0"/>
        <v/>
      </c>
      <c r="X24" s="45" t="str">
        <f t="shared" si="1"/>
        <v/>
      </c>
    </row>
    <row r="25" spans="2:24" x14ac:dyDescent="0.3">
      <c r="B25" s="38">
        <v>23</v>
      </c>
      <c r="C25" s="39"/>
      <c r="D25" s="39"/>
      <c r="E25" s="39"/>
      <c r="F25" s="40"/>
      <c r="G25" s="21" t="str">
        <f t="shared" si="5"/>
        <v/>
      </c>
      <c r="H25" s="41" t="str">
        <f t="shared" si="6"/>
        <v/>
      </c>
      <c r="I25" s="1" t="str">
        <f t="shared" si="2"/>
        <v>J'aime</v>
      </c>
      <c r="J25" s="1" t="str">
        <f t="shared" si="3"/>
        <v>la</v>
      </c>
      <c r="K25" s="1" t="str">
        <f t="shared" si="4"/>
        <v>physique</v>
      </c>
      <c r="L25" s="42" t="str">
        <f t="shared" si="7"/>
        <v/>
      </c>
      <c r="V25" s="44" t="str">
        <f t="shared" si="8"/>
        <v/>
      </c>
      <c r="W25" t="str">
        <f t="shared" si="0"/>
        <v/>
      </c>
      <c r="X25" s="45" t="str">
        <f t="shared" si="1"/>
        <v/>
      </c>
    </row>
    <row r="26" spans="2:24" x14ac:dyDescent="0.3">
      <c r="B26" s="38">
        <v>24</v>
      </c>
      <c r="C26" s="39"/>
      <c r="D26" s="39"/>
      <c r="E26" s="39"/>
      <c r="F26" s="40"/>
      <c r="G26" s="21" t="str">
        <f t="shared" si="5"/>
        <v/>
      </c>
      <c r="H26" s="41" t="str">
        <f t="shared" si="6"/>
        <v/>
      </c>
      <c r="I26" s="1" t="str">
        <f t="shared" si="2"/>
        <v>J'aime</v>
      </c>
      <c r="J26" s="1" t="str">
        <f t="shared" si="3"/>
        <v>la</v>
      </c>
      <c r="K26" s="1" t="str">
        <f t="shared" si="4"/>
        <v>physique</v>
      </c>
      <c r="L26" s="42" t="str">
        <f t="shared" si="7"/>
        <v/>
      </c>
      <c r="V26" s="44" t="str">
        <f t="shared" si="8"/>
        <v/>
      </c>
      <c r="W26" t="str">
        <f t="shared" si="0"/>
        <v/>
      </c>
      <c r="X26" s="45" t="str">
        <f t="shared" si="1"/>
        <v/>
      </c>
    </row>
    <row r="27" spans="2:24" x14ac:dyDescent="0.3">
      <c r="B27" s="53">
        <v>25</v>
      </c>
      <c r="C27" s="54"/>
      <c r="D27" s="54"/>
      <c r="E27" s="54"/>
      <c r="F27" s="55"/>
      <c r="G27" s="21" t="str">
        <f t="shared" si="5"/>
        <v/>
      </c>
      <c r="H27" s="56" t="str">
        <f t="shared" si="6"/>
        <v/>
      </c>
      <c r="I27" s="57" t="str">
        <f t="shared" si="2"/>
        <v>J'aime</v>
      </c>
      <c r="J27" s="57" t="str">
        <f t="shared" si="3"/>
        <v>la</v>
      </c>
      <c r="K27" s="57" t="str">
        <f t="shared" si="4"/>
        <v>physique</v>
      </c>
      <c r="L27" s="58" t="str">
        <f t="shared" si="7"/>
        <v/>
      </c>
      <c r="V27" s="48" t="str">
        <f t="shared" si="8"/>
        <v/>
      </c>
      <c r="W27" s="59" t="str">
        <f t="shared" si="0"/>
        <v/>
      </c>
      <c r="X27" s="49" t="str">
        <f t="shared" si="1"/>
        <v/>
      </c>
    </row>
    <row r="28" spans="2:24" x14ac:dyDescent="0.3">
      <c r="B28" s="1"/>
      <c r="H28" s="1" t="str">
        <f t="shared" ref="H28" si="9">IF(OR(C28="",D28="",E28="",F28="",H25="Remplissez",D28+F28=0),"",1/(F28^2+$M$3^2*D28^2))</f>
        <v/>
      </c>
      <c r="I28" s="1"/>
      <c r="J28" s="1"/>
      <c r="K28" s="1"/>
      <c r="L28" s="1"/>
      <c r="W28" t="str">
        <f t="shared" si="0"/>
        <v/>
      </c>
      <c r="X28" t="str">
        <f t="shared" si="1"/>
        <v/>
      </c>
    </row>
    <row r="29" spans="2:24" ht="16.8" x14ac:dyDescent="0.35">
      <c r="C29" s="1"/>
      <c r="D29" s="1"/>
      <c r="E29" s="1"/>
      <c r="F29" s="1"/>
      <c r="G29" s="60"/>
      <c r="H29" s="18" t="s">
        <v>29</v>
      </c>
      <c r="I29" s="19" t="s">
        <v>30</v>
      </c>
      <c r="J29" s="19" t="s">
        <v>31</v>
      </c>
      <c r="K29" s="19" t="s">
        <v>32</v>
      </c>
      <c r="L29" s="19" t="s">
        <v>33</v>
      </c>
      <c r="M29" s="61" t="s">
        <v>34</v>
      </c>
      <c r="R29" s="60"/>
      <c r="S29" s="60"/>
      <c r="T29" s="60"/>
      <c r="U29" s="60"/>
    </row>
    <row r="30" spans="2:24" x14ac:dyDescent="0.3">
      <c r="C30" s="1"/>
      <c r="D30" s="1"/>
      <c r="E30" s="1"/>
      <c r="F30" s="1"/>
      <c r="H30" s="30">
        <f>IF(M3="-","-",SUM(H3:H27))</f>
        <v>5105211561.4964104</v>
      </c>
      <c r="I30" s="62">
        <f>IF(M3="-","-",SUM(I3:I27))</f>
        <v>25741895157.323597</v>
      </c>
      <c r="J30" s="62">
        <f>IF(M3="-","-",SUM(J3:J27))</f>
        <v>26175669.98390666</v>
      </c>
      <c r="K30" s="62">
        <f>IF(M3="-","-",SUM(K3:K27))</f>
        <v>214367291454.77731</v>
      </c>
      <c r="L30" s="62">
        <f>IF(M3="-","-",SUM(L3:L27))</f>
        <v>218152556.79916874</v>
      </c>
      <c r="M30" s="63">
        <f>IF(M3="-","-",H30*K30-I30^2)</f>
        <v>4.317452084509598E+20</v>
      </c>
    </row>
    <row r="31" spans="2:24" x14ac:dyDescent="0.3">
      <c r="C31" s="64"/>
      <c r="D31" s="64"/>
      <c r="E31" s="64"/>
      <c r="F31" s="64"/>
    </row>
    <row r="32" spans="2:24" x14ac:dyDescent="0.3">
      <c r="C32" s="64"/>
      <c r="D32" s="64"/>
      <c r="E32" s="64"/>
      <c r="F32" s="64"/>
    </row>
    <row r="33" spans="3:6" x14ac:dyDescent="0.3">
      <c r="C33" s="64"/>
      <c r="D33" s="64"/>
      <c r="E33" s="64"/>
      <c r="F33" s="64"/>
    </row>
    <row r="34" spans="3:6" x14ac:dyDescent="0.3">
      <c r="C34" s="64"/>
      <c r="D34" s="64"/>
      <c r="E34" s="64"/>
      <c r="F34" s="64"/>
    </row>
    <row r="35" spans="3:6" x14ac:dyDescent="0.3">
      <c r="C35" s="64"/>
      <c r="D35" s="64"/>
      <c r="E35" s="64"/>
      <c r="F35" s="64"/>
    </row>
    <row r="36" spans="3:6" x14ac:dyDescent="0.3">
      <c r="C36" s="64"/>
      <c r="D36" s="64"/>
      <c r="E36" s="64"/>
      <c r="F36" s="64"/>
    </row>
    <row r="37" spans="3:6" x14ac:dyDescent="0.3">
      <c r="C37" s="64"/>
      <c r="D37" s="64"/>
      <c r="E37" s="64"/>
      <c r="F37" s="64"/>
    </row>
    <row r="38" spans="3:6" x14ac:dyDescent="0.3">
      <c r="C38" s="64"/>
      <c r="D38" s="64"/>
      <c r="E38" s="64"/>
      <c r="F38" s="64"/>
    </row>
  </sheetData>
  <sheetProtection algorithmName="SHA-512" hashValue="HH5uXJFgBrYhA+WNLyWk20mUXHFMJP06qPI+vH5fLvmTHAxzTvlfVc6haOfPCoXt9aaO8b751laOb9euPtU6Pg==" saltValue="BtnKZaePnG2N0DSA75Msug==" spinCount="100000" sheet="1" objects="1" scenarios="1"/>
  <mergeCells count="11">
    <mergeCell ref="O10:P10"/>
    <mergeCell ref="O2:Q2"/>
    <mergeCell ref="S2:T2"/>
    <mergeCell ref="V2:X2"/>
    <mergeCell ref="O4:P4"/>
    <mergeCell ref="S7:T7"/>
    <mergeCell ref="O11:O12"/>
    <mergeCell ref="P11:P12"/>
    <mergeCell ref="O14:P15"/>
    <mergeCell ref="O16:P16"/>
    <mergeCell ref="O22:P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8A12-8365-4C2F-A38C-DB47982F34AA}">
  <dimension ref="B2:X38"/>
  <sheetViews>
    <sheetView zoomScale="85" zoomScaleNormal="85" workbookViewId="0">
      <selection activeCell="O25" sqref="O25"/>
    </sheetView>
  </sheetViews>
  <sheetFormatPr baseColWidth="10" defaultColWidth="11.44140625" defaultRowHeight="14.4" x14ac:dyDescent="0.3"/>
  <cols>
    <col min="1" max="1" width="4.44140625" customWidth="1"/>
    <col min="2" max="2" width="8" customWidth="1"/>
    <col min="3" max="3" width="10.44140625" customWidth="1"/>
    <col min="7" max="7" width="5" customWidth="1"/>
    <col min="8" max="8" width="10" customWidth="1"/>
    <col min="9" max="9" width="8.6640625" customWidth="1"/>
    <col min="10" max="10" width="8.33203125" customWidth="1"/>
    <col min="11" max="11" width="9.88671875" customWidth="1"/>
    <col min="12" max="12" width="9.33203125" customWidth="1"/>
    <col min="13" max="13" width="10.33203125" customWidth="1"/>
    <col min="14" max="14" width="6" customWidth="1"/>
    <col min="15" max="15" width="13.109375" customWidth="1"/>
    <col min="16" max="16" width="12.109375" bestFit="1" customWidth="1"/>
    <col min="18" max="18" width="5.109375" customWidth="1"/>
    <col min="19" max="19" width="11.88671875" customWidth="1"/>
    <col min="20" max="20" width="12.88671875" customWidth="1"/>
    <col min="21" max="21" width="5.109375" customWidth="1"/>
  </cols>
  <sheetData>
    <row r="2" spans="2:24" ht="16.8" x14ac:dyDescent="0.35">
      <c r="B2" s="12" t="s">
        <v>3</v>
      </c>
      <c r="C2" s="13" t="s">
        <v>4</v>
      </c>
      <c r="D2" s="14" t="s">
        <v>5</v>
      </c>
      <c r="E2" s="15" t="s">
        <v>6</v>
      </c>
      <c r="F2" s="16" t="s">
        <v>7</v>
      </c>
      <c r="G2" s="17"/>
      <c r="H2" s="18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20" t="s">
        <v>13</v>
      </c>
      <c r="N2" s="21" t="str">
        <f>IF(OR(M4="Erreur pente",M5="Pente nulle"), "&lt;--", "")</f>
        <v/>
      </c>
      <c r="O2" s="99" t="s">
        <v>14</v>
      </c>
      <c r="P2" s="100"/>
      <c r="Q2" s="101"/>
      <c r="R2" s="17" t="s">
        <v>15</v>
      </c>
      <c r="S2" s="102" t="s">
        <v>16</v>
      </c>
      <c r="T2" s="103"/>
      <c r="V2" s="93" t="s">
        <v>17</v>
      </c>
      <c r="W2" s="104"/>
      <c r="X2" s="94"/>
    </row>
    <row r="3" spans="2:24" ht="15.6" x14ac:dyDescent="0.35">
      <c r="B3" s="22">
        <v>1</v>
      </c>
      <c r="C3" s="23" cm="1">
        <f t="array" ref="C3:C12">'Tableaux et calculs'!I5:I14</f>
        <v>2</v>
      </c>
      <c r="D3" s="24" cm="1">
        <f t="array" ref="D3:D12">'Tableaux et calculs'!J5:J14</f>
        <v>5.0000000000000001E-3</v>
      </c>
      <c r="E3" s="24" cm="1">
        <f t="array" ref="E3:E12">'Tableaux et calculs'!F20:F29</f>
        <v>2.9999999999999999E-7</v>
      </c>
      <c r="F3" s="25" cm="1">
        <f t="array" ref="F3:F12">'Tableaux et calculs'!G20:G29</f>
        <v>1.015E-7</v>
      </c>
      <c r="G3" s="26" t="str">
        <f>IF(OR($C$3="",$D$3="",$E$3="",$F$3="",$D$3+$F$3=0),"&lt;--","")</f>
        <v/>
      </c>
      <c r="H3" s="27">
        <f>IF(OR($C$3="",$D$3="",$E$3="",$F$3="",$C$4="",$D$4="",$E$4="",$F$4="",D3+F3=0,D4+F4=0),"Remplissez",1/(F3^2+$M$3^2*D3^2))</f>
        <v>97056291675043.641</v>
      </c>
      <c r="I3" s="28">
        <f>IF(H3="Remplissez","au moins",H3*C3)</f>
        <v>194112583350087.28</v>
      </c>
      <c r="J3" s="28">
        <f>IF(H3="Remplissez","les 2",H3*E3)</f>
        <v>29116887.502513092</v>
      </c>
      <c r="K3" s="28">
        <f>IF(H3="Remplissez","premiers",H3*C3^2)</f>
        <v>388225166700174.56</v>
      </c>
      <c r="L3" s="29">
        <f>IF(H3="Remplissez","points",H3*C3*E3)</f>
        <v>58233775.005026184</v>
      </c>
      <c r="M3" s="2">
        <f>IF(OR($C$3="",$D$3="",$E$3="",$F$3="",$C$4="",$D$4="",$E$4="",$F$4="",D3+F3=0,D4+F4=0),"-",SLOPE(E3:E27,C3:C27))</f>
        <v>2.0484848484848486E-7</v>
      </c>
      <c r="N3" s="21" t="str">
        <f>IF(ISERROR(N2),"&lt;--","")</f>
        <v/>
      </c>
      <c r="O3" s="30">
        <f>IF(M3="-","-",(H30*L30-I30*J30)/M30)</f>
        <v>2.0523270632961489E-7</v>
      </c>
      <c r="P3" s="31">
        <f>IF(M3="-","-",SQRT(H30/M30))</f>
        <v>6.094293007081555E-9</v>
      </c>
      <c r="Q3" s="32">
        <f>IF(M3="-","-",P3/O3)</f>
        <v>2.9694550717924019E-2</v>
      </c>
      <c r="S3" s="33" t="s">
        <v>18</v>
      </c>
      <c r="T3" s="34" t="s">
        <v>19</v>
      </c>
      <c r="V3" s="35">
        <f>IF(H3="Remplissez","",C3*$O$3+$O$5)</f>
        <v>3.3290304585986799E-7</v>
      </c>
      <c r="W3" s="36">
        <f>IF(H3="Remplissez", "", IF($S$8=1,C3*($O$3+$P$3)+($O$5+$P$5),C3*($O$3+$P$3)+($O$5-$P$5)))</f>
        <v>2.7282164003798937E-7</v>
      </c>
      <c r="X3" s="37">
        <f>IF(H3="Remplissez", "", IF($S$8=1,C3*($O$3-$P$3)+($O$5-$P$5),C3*($O$3-$P$3)+($O$5+$P$5)))</f>
        <v>3.9298445168174655E-7</v>
      </c>
    </row>
    <row r="4" spans="2:24" x14ac:dyDescent="0.3">
      <c r="B4" s="38">
        <v>2</v>
      </c>
      <c r="C4" s="39">
        <v>4</v>
      </c>
      <c r="D4" s="39">
        <v>7.0000000000000001E-3</v>
      </c>
      <c r="E4" s="39">
        <v>6.9999999999999997E-7</v>
      </c>
      <c r="F4" s="40">
        <v>1.0350000000000001E-7</v>
      </c>
      <c r="G4" s="26" t="str">
        <f>IF(OR($C$3="",$D$3="",$E$3="",$F$3="",$C$4="",$D$4="",$E$4="",$F$4="",$D$3+$F$3=0,$D$4+$F$4=0),"&lt;--","")</f>
        <v/>
      </c>
      <c r="H4" s="41">
        <f>IF(H3="Remplissez","Remplissez",1/(F4^2+$M$3^2*D4^2))</f>
        <v>93333155035524.766</v>
      </c>
      <c r="I4" s="1">
        <f>IF(H4="Remplissez","au moins",H4*C4)</f>
        <v>373332620142099.06</v>
      </c>
      <c r="J4" s="1">
        <f>IF(H4="Remplissez","les 2",H4*E4)</f>
        <v>65333208.524867333</v>
      </c>
      <c r="K4" s="1">
        <f>IF(H4="Remplissez","premiers",H4*C4^2)</f>
        <v>1493330480568396.3</v>
      </c>
      <c r="L4" s="42">
        <f>IF(H4="Remplissez","points",H4*C4*E4)</f>
        <v>261332834.09946933</v>
      </c>
      <c r="M4" s="21" t="str">
        <f>IF(ISERROR(M3),"Erreur pente","")</f>
        <v/>
      </c>
      <c r="N4" s="43"/>
      <c r="O4" s="105" t="s">
        <v>20</v>
      </c>
      <c r="P4" s="106"/>
      <c r="Q4" s="1"/>
      <c r="S4" s="44">
        <f>MIN(C3:C27)*(O3+P3)+(O5+P5)</f>
        <v>4.1736162371007273E-7</v>
      </c>
      <c r="T4" s="45">
        <f>MIN(C3:C27)*(O3-P3)+(O5-P5)</f>
        <v>2.4844446800966319E-7</v>
      </c>
      <c r="V4" s="44">
        <f>IF(H4="Remplissez","",C4*$O$3+$O$5)</f>
        <v>7.4336845851909777E-7</v>
      </c>
      <c r="W4">
        <f>IF(H4="Remplissez", "", IF($S$8=1,C4*($O$3+$P$3)+($O$5+$P$5),C4*($O$3+$P$3)+($O$5-$P$5)))</f>
        <v>6.9547563871138219E-7</v>
      </c>
      <c r="X4" s="45">
        <f>IF(H4="Remplissez", "", IF($S$8=1,C4*($O$3-$P$3)+($O$5-$P$5),C4*($O$3-$P$3)+($O$5+$P$5)))</f>
        <v>7.9126127832681325E-7</v>
      </c>
    </row>
    <row r="5" spans="2:24" ht="15.6" x14ac:dyDescent="0.35">
      <c r="B5" s="38">
        <v>3</v>
      </c>
      <c r="C5" s="39">
        <v>6</v>
      </c>
      <c r="D5" s="39">
        <v>9.0000000000000011E-3</v>
      </c>
      <c r="E5" s="39">
        <v>1.1999999999999999E-6</v>
      </c>
      <c r="F5" s="40">
        <v>1.0600000000000001E-7</v>
      </c>
      <c r="G5" s="21" t="str">
        <f t="shared" ref="G5:G27" si="0">IF(AND(NOT(AND(C5="",D5="",E5="",F5="")),H5=""),"&lt;--","")</f>
        <v/>
      </c>
      <c r="H5" s="41">
        <f t="shared" ref="H5:H27" si="1">IF(OR(C5="",D5="",E5="",F5="",$H$3="Remplissez",D5+F5=0),"",1/(F5^2+$M$3^2*D5^2))</f>
        <v>88972728919151.891</v>
      </c>
      <c r="I5" s="1">
        <f t="shared" ref="I5:I27" si="2">IF(H5="","J'aime",H5*C5)</f>
        <v>533836373514911.38</v>
      </c>
      <c r="J5" s="1">
        <f t="shared" ref="J5:J27" si="3">IF(H5="","la",H5*E5)</f>
        <v>106767274.70298226</v>
      </c>
      <c r="K5" s="1">
        <f t="shared" ref="K5:K27" si="4">IF(H5="","physique",H5*C5^2)</f>
        <v>3203018241089468</v>
      </c>
      <c r="L5" s="42">
        <f t="shared" ref="L5:L27" si="5">IF(H5="","",H5*C5*E5)</f>
        <v>640603648.2178936</v>
      </c>
      <c r="M5" s="21" t="str">
        <f>IF(M3=0,"Pente nulle","")</f>
        <v/>
      </c>
      <c r="O5" s="30">
        <f>IF(M3="-","-",(K30*J30-I30*L30)/M30)</f>
        <v>-7.7562366799361821E-8</v>
      </c>
      <c r="P5" s="46">
        <f>IF(M3="-","-",SQRT(K30/M30))</f>
        <v>7.2269991836041681E-8</v>
      </c>
      <c r="Q5" s="47"/>
      <c r="S5" s="33" t="s">
        <v>21</v>
      </c>
      <c r="T5" s="34" t="s">
        <v>22</v>
      </c>
      <c r="V5" s="44">
        <f t="shared" ref="V5:V27" si="6">IF(L5="","",C5*$O$3+$O$5)</f>
        <v>1.1538338711783276E-6</v>
      </c>
      <c r="W5">
        <f t="shared" ref="W5:W28" si="7">IF(H5="", "", IF($S$8=1,C5*($O$3+$P$3)+($O$5+$P$5),C5*($O$3+$P$3)+($O$5-$P$5)))</f>
        <v>1.1181296373847751E-6</v>
      </c>
      <c r="X5" s="45">
        <f t="shared" ref="X5:X28" si="8">IF(H5="", "", IF($S$8=1,C5*($O$3-$P$3)+($O$5-$P$5),C5*($O$3-$P$3)+($O$5+$P$5)))</f>
        <v>1.18953810497188E-6</v>
      </c>
    </row>
    <row r="6" spans="2:24" x14ac:dyDescent="0.3">
      <c r="B6" s="38">
        <v>4</v>
      </c>
      <c r="C6" s="39">
        <v>8</v>
      </c>
      <c r="D6" s="39">
        <v>1.0999999999999999E-2</v>
      </c>
      <c r="E6" s="39">
        <v>1.6000000000000001E-6</v>
      </c>
      <c r="F6" s="40">
        <v>1.0800000000000001E-7</v>
      </c>
      <c r="G6" s="21" t="str">
        <f t="shared" si="0"/>
        <v/>
      </c>
      <c r="H6" s="41">
        <f t="shared" si="1"/>
        <v>85696577047141.516</v>
      </c>
      <c r="I6" s="1">
        <f t="shared" si="2"/>
        <v>685572616377132.13</v>
      </c>
      <c r="J6" s="1">
        <f t="shared" si="3"/>
        <v>137114523.27542645</v>
      </c>
      <c r="K6" s="1">
        <f t="shared" si="4"/>
        <v>5484580931017057</v>
      </c>
      <c r="L6" s="42">
        <f t="shared" si="5"/>
        <v>1096916186.2034116</v>
      </c>
      <c r="M6" s="21"/>
      <c r="O6" s="1"/>
      <c r="P6" s="47"/>
      <c r="Q6" s="47"/>
      <c r="S6" s="44">
        <f>MAX(C3:C27)*(O3+P3)+(O5+P5)</f>
        <v>4.2212476117706089E-6</v>
      </c>
      <c r="T6" s="45">
        <f>MAX(C3:C27)*(O3-P3)+(O5-P5)</f>
        <v>3.8329359078152642E-6</v>
      </c>
      <c r="V6" s="44">
        <f t="shared" si="6"/>
        <v>1.5642992838375572E-6</v>
      </c>
      <c r="W6">
        <f t="shared" si="7"/>
        <v>1.5407836360581679E-6</v>
      </c>
      <c r="X6" s="45">
        <f t="shared" si="8"/>
        <v>1.5878149316169465E-6</v>
      </c>
    </row>
    <row r="7" spans="2:24" x14ac:dyDescent="0.3">
      <c r="B7" s="38">
        <v>5</v>
      </c>
      <c r="C7" s="39">
        <v>10</v>
      </c>
      <c r="D7" s="39">
        <v>1.3000000000000001E-2</v>
      </c>
      <c r="E7" s="39">
        <v>1.9999999999999999E-6</v>
      </c>
      <c r="F7" s="40">
        <v>1.1000000000000001E-7</v>
      </c>
      <c r="G7" s="21" t="str">
        <f t="shared" si="0"/>
        <v/>
      </c>
      <c r="H7" s="41">
        <f t="shared" si="1"/>
        <v>82596218998613.813</v>
      </c>
      <c r="I7" s="1">
        <f t="shared" si="2"/>
        <v>825962189986138.13</v>
      </c>
      <c r="J7" s="1">
        <f t="shared" si="3"/>
        <v>165192437.99722761</v>
      </c>
      <c r="K7" s="1">
        <f t="shared" si="4"/>
        <v>8259621899861381</v>
      </c>
      <c r="L7" s="42">
        <f t="shared" si="5"/>
        <v>1651924379.9722762</v>
      </c>
      <c r="M7" s="21"/>
      <c r="O7" s="47"/>
      <c r="P7" s="47"/>
      <c r="Q7" s="47"/>
      <c r="S7" s="107" t="s">
        <v>23</v>
      </c>
      <c r="T7" s="108"/>
      <c r="V7" s="44">
        <f t="shared" si="6"/>
        <v>1.9747646964967869E-6</v>
      </c>
      <c r="W7">
        <f t="shared" si="7"/>
        <v>1.9634376347315608E-6</v>
      </c>
      <c r="X7" s="45">
        <f t="shared" si="8"/>
        <v>1.9860917582620134E-6</v>
      </c>
    </row>
    <row r="8" spans="2:24" x14ac:dyDescent="0.3">
      <c r="B8" s="38">
        <v>6</v>
      </c>
      <c r="C8" s="39">
        <v>12</v>
      </c>
      <c r="D8" s="39">
        <v>1.4999999999999999E-2</v>
      </c>
      <c r="E8" s="39">
        <v>2.3999999999999999E-6</v>
      </c>
      <c r="F8" s="40">
        <v>1.12E-7</v>
      </c>
      <c r="G8" s="21" t="str">
        <f t="shared" si="0"/>
        <v/>
      </c>
      <c r="H8" s="41">
        <f t="shared" si="1"/>
        <v>79659429473636.047</v>
      </c>
      <c r="I8" s="1">
        <f t="shared" si="2"/>
        <v>955913153683632.5</v>
      </c>
      <c r="J8" s="1">
        <f t="shared" si="3"/>
        <v>191182630.73672649</v>
      </c>
      <c r="K8" s="1">
        <f t="shared" si="4"/>
        <v>1.147095784420359E+16</v>
      </c>
      <c r="L8" s="42">
        <f t="shared" si="5"/>
        <v>2294191568.8407178</v>
      </c>
      <c r="M8" s="21"/>
      <c r="O8" s="1"/>
      <c r="P8" s="47"/>
      <c r="Q8" s="47"/>
      <c r="S8" s="48">
        <f>IF(AND(T4&gt;S4,T6&lt;S6),1,2)</f>
        <v>2</v>
      </c>
      <c r="T8" s="49"/>
      <c r="V8" s="44">
        <f t="shared" si="6"/>
        <v>2.385230109156017E-6</v>
      </c>
      <c r="W8">
        <f t="shared" si="7"/>
        <v>2.3860916334049537E-6</v>
      </c>
      <c r="X8" s="45">
        <f t="shared" si="8"/>
        <v>2.3843685849070799E-6</v>
      </c>
    </row>
    <row r="9" spans="2:24" x14ac:dyDescent="0.3">
      <c r="B9" s="38">
        <v>7</v>
      </c>
      <c r="C9" s="39">
        <v>14</v>
      </c>
      <c r="D9" s="39">
        <v>1.7000000000000001E-2</v>
      </c>
      <c r="E9" s="39">
        <v>2.7999999999999999E-6</v>
      </c>
      <c r="F9" s="40">
        <v>1.14E-7</v>
      </c>
      <c r="G9" s="21" t="str">
        <f t="shared" si="0"/>
        <v/>
      </c>
      <c r="H9" s="41">
        <f t="shared" si="1"/>
        <v>76875016563283.516</v>
      </c>
      <c r="I9" s="1">
        <f t="shared" si="2"/>
        <v>1076250231885969.3</v>
      </c>
      <c r="J9" s="1">
        <f t="shared" si="3"/>
        <v>215250046.37719384</v>
      </c>
      <c r="K9" s="1">
        <f t="shared" si="4"/>
        <v>1.506750324640357E+16</v>
      </c>
      <c r="L9" s="42">
        <f t="shared" si="5"/>
        <v>3013500649.2807136</v>
      </c>
      <c r="M9" s="21"/>
      <c r="O9" s="1"/>
      <c r="P9" s="47"/>
      <c r="Q9" s="47"/>
      <c r="V9" s="44">
        <f t="shared" si="6"/>
        <v>2.7956955218152467E-6</v>
      </c>
      <c r="W9">
        <f t="shared" si="7"/>
        <v>2.8087456320783466E-6</v>
      </c>
      <c r="X9" s="45">
        <f t="shared" si="8"/>
        <v>2.7826454115521464E-6</v>
      </c>
    </row>
    <row r="10" spans="2:24" x14ac:dyDescent="0.3">
      <c r="B10" s="38">
        <v>8</v>
      </c>
      <c r="C10" s="39">
        <v>16</v>
      </c>
      <c r="D10" s="39">
        <v>1.9E-2</v>
      </c>
      <c r="E10" s="39">
        <v>3.2000000000000003E-6</v>
      </c>
      <c r="F10" s="40">
        <v>1.1600000000000001E-7</v>
      </c>
      <c r="G10" s="21" t="str">
        <f t="shared" si="0"/>
        <v/>
      </c>
      <c r="H10" s="41">
        <f t="shared" si="1"/>
        <v>74232719802455.391</v>
      </c>
      <c r="I10" s="1">
        <f t="shared" si="2"/>
        <v>1187723516839286.3</v>
      </c>
      <c r="J10" s="1">
        <f t="shared" si="3"/>
        <v>237544703.36785728</v>
      </c>
      <c r="K10" s="1">
        <f t="shared" si="4"/>
        <v>1.900357626942858E+16</v>
      </c>
      <c r="L10" s="42">
        <f t="shared" si="5"/>
        <v>3800715253.8857164</v>
      </c>
      <c r="M10" s="21"/>
      <c r="O10" s="107" t="s">
        <v>24</v>
      </c>
      <c r="P10" s="108"/>
      <c r="Q10" s="1"/>
      <c r="S10" t="s">
        <v>25</v>
      </c>
      <c r="T10" t="s">
        <v>26</v>
      </c>
      <c r="V10" s="44">
        <f t="shared" si="6"/>
        <v>3.2061609344744764E-6</v>
      </c>
      <c r="W10">
        <f t="shared" si="7"/>
        <v>3.2313996307517394E-6</v>
      </c>
      <c r="X10" s="45">
        <f t="shared" si="8"/>
        <v>3.1809222381972133E-6</v>
      </c>
    </row>
    <row r="11" spans="2:24" x14ac:dyDescent="0.3">
      <c r="B11" s="38">
        <v>9</v>
      </c>
      <c r="C11" s="39">
        <v>18</v>
      </c>
      <c r="D11" s="39">
        <v>2.1000000000000001E-2</v>
      </c>
      <c r="E11" s="39">
        <v>3.6000000000000003E-6</v>
      </c>
      <c r="F11" s="40">
        <v>1.1800000000000001E-7</v>
      </c>
      <c r="G11" s="21" t="str">
        <f t="shared" si="0"/>
        <v/>
      </c>
      <c r="H11" s="41">
        <f t="shared" si="1"/>
        <v>71723119634593.156</v>
      </c>
      <c r="I11" s="1">
        <f t="shared" si="2"/>
        <v>1291016153422676.8</v>
      </c>
      <c r="J11" s="1">
        <f t="shared" si="3"/>
        <v>258203230.68453538</v>
      </c>
      <c r="K11" s="1">
        <f t="shared" si="4"/>
        <v>2.3238290761608184E+16</v>
      </c>
      <c r="L11" s="42">
        <f t="shared" si="5"/>
        <v>4647658152.3216362</v>
      </c>
      <c r="M11" s="21"/>
      <c r="O11" s="89"/>
      <c r="P11" s="91"/>
      <c r="Q11" s="47"/>
      <c r="S11" s="50" cm="1">
        <f t="array" ref="S11">LOOKUP(2,1/(ISNUMBER(F:F)),F:F)</f>
        <v>1.2000000000000002E-7</v>
      </c>
      <c r="T11" s="50" cm="1">
        <f t="array" ref="T11">LOOKUP(2,1/(ISNUMBER(D:D)),D:D)</f>
        <v>0.05</v>
      </c>
      <c r="V11" s="44">
        <f t="shared" si="6"/>
        <v>3.616626347133706E-6</v>
      </c>
      <c r="W11">
        <f t="shared" si="7"/>
        <v>3.6540536294251323E-6</v>
      </c>
      <c r="X11" s="45">
        <f t="shared" si="8"/>
        <v>3.5791990648422802E-6</v>
      </c>
    </row>
    <row r="12" spans="2:24" x14ac:dyDescent="0.3">
      <c r="B12" s="38">
        <v>10</v>
      </c>
      <c r="C12" s="39">
        <v>20</v>
      </c>
      <c r="D12" s="39">
        <v>0.05</v>
      </c>
      <c r="E12" s="39">
        <v>3.9999999999999998E-6</v>
      </c>
      <c r="F12" s="40">
        <v>1.2000000000000002E-7</v>
      </c>
      <c r="G12" s="21" t="str">
        <f t="shared" si="0"/>
        <v/>
      </c>
      <c r="H12" s="41">
        <f t="shared" si="1"/>
        <v>68942185045636.031</v>
      </c>
      <c r="I12" s="1">
        <f t="shared" si="2"/>
        <v>1378843700912720.5</v>
      </c>
      <c r="J12" s="1">
        <f t="shared" si="3"/>
        <v>275768740.18254411</v>
      </c>
      <c r="K12" s="1">
        <f t="shared" si="4"/>
        <v>2.7576874018254412E+16</v>
      </c>
      <c r="L12" s="42">
        <f t="shared" si="5"/>
        <v>5515374803.6508818</v>
      </c>
      <c r="M12" s="21"/>
      <c r="O12" s="90"/>
      <c r="P12" s="92"/>
      <c r="Q12" s="47"/>
      <c r="S12" t="s">
        <v>27</v>
      </c>
      <c r="T12" t="s">
        <v>28</v>
      </c>
      <c r="V12" s="44">
        <f t="shared" si="6"/>
        <v>4.0270917597929357E-6</v>
      </c>
      <c r="W12">
        <f t="shared" si="7"/>
        <v>4.0767076280985256E-6</v>
      </c>
      <c r="X12" s="45">
        <f t="shared" si="8"/>
        <v>3.9774758914873475E-6</v>
      </c>
    </row>
    <row r="13" spans="2:24" x14ac:dyDescent="0.3">
      <c r="B13" s="38">
        <v>11</v>
      </c>
      <c r="C13" s="39"/>
      <c r="D13" s="39"/>
      <c r="E13" s="39"/>
      <c r="F13" s="40"/>
      <c r="G13" s="21" t="str">
        <f t="shared" si="0"/>
        <v/>
      </c>
      <c r="H13" s="41" t="str">
        <f t="shared" si="1"/>
        <v/>
      </c>
      <c r="I13" s="1" t="str">
        <f t="shared" si="2"/>
        <v>J'aime</v>
      </c>
      <c r="J13" s="1" t="str">
        <f t="shared" si="3"/>
        <v>la</v>
      </c>
      <c r="K13" s="1" t="str">
        <f t="shared" si="4"/>
        <v>physique</v>
      </c>
      <c r="L13" s="42" t="str">
        <f t="shared" si="5"/>
        <v/>
      </c>
      <c r="M13" s="21"/>
      <c r="O13" s="51">
        <f>IF(M3="-","-",(S11+F3)/ABS(S13-E3))</f>
        <v>5.9864864864864871E-2</v>
      </c>
      <c r="P13" s="51">
        <f>IF(M3="-","-",(T11+D3)/ABS(T13-C3))</f>
        <v>3.0555555555555557E-3</v>
      </c>
      <c r="Q13" s="52"/>
      <c r="S13" s="50" cm="1">
        <f t="array" ref="S13">LOOKUP(2,1/(ISNUMBER(E:E)),E:E)</f>
        <v>3.9999999999999998E-6</v>
      </c>
      <c r="T13" s="50" cm="1">
        <f t="array" ref="T13">LOOKUP(2,1/(ISNUMBER(C:C)),C:C)</f>
        <v>20</v>
      </c>
      <c r="V13" s="44" t="str">
        <f t="shared" si="6"/>
        <v/>
      </c>
      <c r="W13" t="str">
        <f t="shared" si="7"/>
        <v/>
      </c>
      <c r="X13" s="45" t="str">
        <f t="shared" si="8"/>
        <v/>
      </c>
    </row>
    <row r="14" spans="2:24" x14ac:dyDescent="0.3">
      <c r="B14" s="38">
        <v>12</v>
      </c>
      <c r="C14" s="39"/>
      <c r="D14" s="39"/>
      <c r="E14" s="39"/>
      <c r="F14" s="40"/>
      <c r="G14" s="21" t="str">
        <f t="shared" si="0"/>
        <v/>
      </c>
      <c r="H14" s="41" t="str">
        <f t="shared" si="1"/>
        <v/>
      </c>
      <c r="I14" s="1" t="str">
        <f t="shared" si="2"/>
        <v>J'aime</v>
      </c>
      <c r="J14" s="1" t="str">
        <f t="shared" si="3"/>
        <v>la</v>
      </c>
      <c r="K14" s="1" t="str">
        <f t="shared" si="4"/>
        <v>physique</v>
      </c>
      <c r="L14" s="42" t="str">
        <f t="shared" si="5"/>
        <v/>
      </c>
      <c r="M14" s="21"/>
      <c r="O14" s="93"/>
      <c r="P14" s="94"/>
      <c r="Q14" s="1"/>
      <c r="V14" s="44" t="str">
        <f t="shared" si="6"/>
        <v/>
      </c>
      <c r="W14" t="str">
        <f t="shared" si="7"/>
        <v/>
      </c>
      <c r="X14" s="45" t="str">
        <f t="shared" si="8"/>
        <v/>
      </c>
    </row>
    <row r="15" spans="2:24" x14ac:dyDescent="0.3">
      <c r="B15" s="38">
        <v>13</v>
      </c>
      <c r="C15" s="39"/>
      <c r="D15" s="39"/>
      <c r="E15" s="39"/>
      <c r="F15" s="40"/>
      <c r="G15" s="21" t="str">
        <f t="shared" si="0"/>
        <v/>
      </c>
      <c r="H15" s="41" t="str">
        <f t="shared" si="1"/>
        <v/>
      </c>
      <c r="I15" s="1" t="str">
        <f t="shared" si="2"/>
        <v>J'aime</v>
      </c>
      <c r="J15" s="1" t="str">
        <f t="shared" si="3"/>
        <v>la</v>
      </c>
      <c r="K15" s="1" t="str">
        <f t="shared" si="4"/>
        <v>physique</v>
      </c>
      <c r="L15" s="42" t="str">
        <f t="shared" si="5"/>
        <v/>
      </c>
      <c r="M15" s="21"/>
      <c r="O15" s="95"/>
      <c r="P15" s="96"/>
      <c r="Q15" s="1"/>
      <c r="V15" s="44" t="str">
        <f t="shared" si="6"/>
        <v/>
      </c>
      <c r="W15" t="str">
        <f t="shared" si="7"/>
        <v/>
      </c>
      <c r="X15" s="45" t="str">
        <f t="shared" si="8"/>
        <v/>
      </c>
    </row>
    <row r="16" spans="2:24" x14ac:dyDescent="0.3">
      <c r="B16" s="38">
        <v>14</v>
      </c>
      <c r="C16" s="39"/>
      <c r="D16" s="39"/>
      <c r="E16" s="39"/>
      <c r="F16" s="40"/>
      <c r="G16" s="21" t="str">
        <f t="shared" si="0"/>
        <v/>
      </c>
      <c r="H16" s="41" t="str">
        <f t="shared" si="1"/>
        <v/>
      </c>
      <c r="I16" s="1" t="str">
        <f t="shared" si="2"/>
        <v>J'aime</v>
      </c>
      <c r="J16" s="1" t="str">
        <f t="shared" si="3"/>
        <v>la</v>
      </c>
      <c r="K16" s="1" t="str">
        <f t="shared" si="4"/>
        <v>physique</v>
      </c>
      <c r="L16" s="42" t="str">
        <f t="shared" si="5"/>
        <v/>
      </c>
      <c r="M16" s="21"/>
      <c r="O16" s="97">
        <f>IF(O13="-","-",O13+P13)</f>
        <v>6.2920420420420425E-2</v>
      </c>
      <c r="P16" s="97"/>
      <c r="Q16" s="52"/>
      <c r="V16" s="44" t="str">
        <f t="shared" si="6"/>
        <v/>
      </c>
      <c r="W16" t="str">
        <f t="shared" si="7"/>
        <v/>
      </c>
      <c r="X16" s="45" t="str">
        <f t="shared" si="8"/>
        <v/>
      </c>
    </row>
    <row r="17" spans="2:24" x14ac:dyDescent="0.3">
      <c r="B17" s="38">
        <v>15</v>
      </c>
      <c r="C17" s="39"/>
      <c r="D17" s="39"/>
      <c r="E17" s="39"/>
      <c r="F17" s="40"/>
      <c r="G17" s="21" t="str">
        <f t="shared" si="0"/>
        <v/>
      </c>
      <c r="H17" s="41" t="str">
        <f t="shared" si="1"/>
        <v/>
      </c>
      <c r="I17" s="1" t="str">
        <f t="shared" si="2"/>
        <v>J'aime</v>
      </c>
      <c r="J17" s="1" t="str">
        <f t="shared" si="3"/>
        <v>la</v>
      </c>
      <c r="K17" s="1" t="str">
        <f t="shared" si="4"/>
        <v>physique</v>
      </c>
      <c r="L17" s="42" t="str">
        <f t="shared" si="5"/>
        <v/>
      </c>
      <c r="M17" s="21"/>
      <c r="O17" s="1"/>
      <c r="V17" s="44" t="str">
        <f t="shared" si="6"/>
        <v/>
      </c>
      <c r="W17" t="str">
        <f t="shared" si="7"/>
        <v/>
      </c>
      <c r="X17" s="45" t="str">
        <f t="shared" si="8"/>
        <v/>
      </c>
    </row>
    <row r="18" spans="2:24" x14ac:dyDescent="0.3">
      <c r="B18" s="38">
        <v>16</v>
      </c>
      <c r="C18" s="39"/>
      <c r="D18" s="39"/>
      <c r="E18" s="39"/>
      <c r="F18" s="40"/>
      <c r="G18" s="21" t="str">
        <f t="shared" si="0"/>
        <v/>
      </c>
      <c r="H18" s="41" t="str">
        <f t="shared" si="1"/>
        <v/>
      </c>
      <c r="I18" s="1" t="str">
        <f t="shared" si="2"/>
        <v>J'aime</v>
      </c>
      <c r="J18" s="1" t="str">
        <f t="shared" si="3"/>
        <v>la</v>
      </c>
      <c r="K18" s="1" t="str">
        <f t="shared" si="4"/>
        <v>physique</v>
      </c>
      <c r="L18" s="42" t="str">
        <f t="shared" si="5"/>
        <v/>
      </c>
      <c r="M18" s="21"/>
      <c r="O18" s="1"/>
      <c r="P18" s="47"/>
      <c r="Q18" s="47"/>
      <c r="V18" s="44" t="str">
        <f t="shared" si="6"/>
        <v/>
      </c>
      <c r="W18" t="str">
        <f t="shared" si="7"/>
        <v/>
      </c>
      <c r="X18" s="45" t="str">
        <f t="shared" si="8"/>
        <v/>
      </c>
    </row>
    <row r="19" spans="2:24" x14ac:dyDescent="0.3">
      <c r="B19" s="38">
        <v>17</v>
      </c>
      <c r="C19" s="39"/>
      <c r="D19" s="39"/>
      <c r="E19" s="39"/>
      <c r="F19" s="40"/>
      <c r="G19" s="21" t="str">
        <f t="shared" si="0"/>
        <v/>
      </c>
      <c r="H19" s="41" t="str">
        <f t="shared" si="1"/>
        <v/>
      </c>
      <c r="I19" s="1" t="str">
        <f t="shared" si="2"/>
        <v>J'aime</v>
      </c>
      <c r="J19" s="1" t="str">
        <f t="shared" si="3"/>
        <v>la</v>
      </c>
      <c r="K19" s="1" t="str">
        <f t="shared" si="4"/>
        <v>physique</v>
      </c>
      <c r="L19" s="42" t="str">
        <f t="shared" si="5"/>
        <v/>
      </c>
      <c r="M19" s="21"/>
      <c r="O19" s="47"/>
      <c r="P19" s="47"/>
      <c r="Q19" s="47"/>
      <c r="V19" s="44" t="str">
        <f t="shared" si="6"/>
        <v/>
      </c>
      <c r="W19" t="str">
        <f t="shared" si="7"/>
        <v/>
      </c>
      <c r="X19" s="45" t="str">
        <f t="shared" si="8"/>
        <v/>
      </c>
    </row>
    <row r="20" spans="2:24" x14ac:dyDescent="0.3">
      <c r="B20" s="38">
        <v>18</v>
      </c>
      <c r="C20" s="39"/>
      <c r="D20" s="39"/>
      <c r="E20" s="39"/>
      <c r="F20" s="40"/>
      <c r="G20" s="21" t="str">
        <f t="shared" si="0"/>
        <v/>
      </c>
      <c r="H20" s="41" t="str">
        <f t="shared" si="1"/>
        <v/>
      </c>
      <c r="I20" s="1" t="str">
        <f t="shared" si="2"/>
        <v>J'aime</v>
      </c>
      <c r="J20" s="1" t="str">
        <f t="shared" si="3"/>
        <v>la</v>
      </c>
      <c r="K20" s="1" t="str">
        <f t="shared" si="4"/>
        <v>physique</v>
      </c>
      <c r="L20" s="42" t="str">
        <f t="shared" si="5"/>
        <v/>
      </c>
      <c r="M20" s="21"/>
      <c r="O20" s="1"/>
      <c r="P20" s="47"/>
      <c r="Q20" s="47"/>
      <c r="V20" s="44" t="str">
        <f t="shared" si="6"/>
        <v/>
      </c>
      <c r="W20" t="str">
        <f t="shared" si="7"/>
        <v/>
      </c>
      <c r="X20" s="45" t="str">
        <f t="shared" si="8"/>
        <v/>
      </c>
    </row>
    <row r="21" spans="2:24" x14ac:dyDescent="0.3">
      <c r="B21" s="38">
        <v>19</v>
      </c>
      <c r="C21" s="39"/>
      <c r="D21" s="39"/>
      <c r="E21" s="39"/>
      <c r="F21" s="40"/>
      <c r="G21" s="21" t="str">
        <f t="shared" si="0"/>
        <v/>
      </c>
      <c r="H21" s="41" t="str">
        <f t="shared" si="1"/>
        <v/>
      </c>
      <c r="I21" s="1" t="str">
        <f t="shared" si="2"/>
        <v>J'aime</v>
      </c>
      <c r="J21" s="1" t="str">
        <f t="shared" si="3"/>
        <v>la</v>
      </c>
      <c r="K21" s="1" t="str">
        <f t="shared" si="4"/>
        <v>physique</v>
      </c>
      <c r="L21" s="42" t="str">
        <f t="shared" si="5"/>
        <v/>
      </c>
      <c r="V21" s="44" t="str">
        <f t="shared" si="6"/>
        <v/>
      </c>
      <c r="W21" t="str">
        <f t="shared" si="7"/>
        <v/>
      </c>
      <c r="X21" s="45" t="str">
        <f t="shared" si="8"/>
        <v/>
      </c>
    </row>
    <row r="22" spans="2:24" x14ac:dyDescent="0.3">
      <c r="B22" s="38">
        <v>20</v>
      </c>
      <c r="C22" s="39"/>
      <c r="D22" s="39"/>
      <c r="E22" s="39"/>
      <c r="F22" s="40"/>
      <c r="G22" s="21" t="str">
        <f t="shared" si="0"/>
        <v/>
      </c>
      <c r="H22" s="41" t="str">
        <f t="shared" si="1"/>
        <v/>
      </c>
      <c r="I22" s="1" t="str">
        <f t="shared" si="2"/>
        <v>J'aime</v>
      </c>
      <c r="J22" s="1" t="str">
        <f t="shared" si="3"/>
        <v>la</v>
      </c>
      <c r="K22" s="1" t="str">
        <f t="shared" si="4"/>
        <v>physique</v>
      </c>
      <c r="L22" s="42" t="str">
        <f t="shared" si="5"/>
        <v/>
      </c>
      <c r="O22" s="98"/>
      <c r="P22" s="98"/>
      <c r="Q22" s="1"/>
      <c r="V22" s="44" t="str">
        <f t="shared" si="6"/>
        <v/>
      </c>
      <c r="W22" t="str">
        <f t="shared" si="7"/>
        <v/>
      </c>
      <c r="X22" s="45" t="str">
        <f t="shared" si="8"/>
        <v/>
      </c>
    </row>
    <row r="23" spans="2:24" x14ac:dyDescent="0.3">
      <c r="B23" s="38">
        <v>21</v>
      </c>
      <c r="C23" s="39"/>
      <c r="D23" s="39"/>
      <c r="E23" s="39"/>
      <c r="F23" s="40"/>
      <c r="G23" s="21" t="str">
        <f t="shared" si="0"/>
        <v/>
      </c>
      <c r="H23" s="41" t="str">
        <f t="shared" si="1"/>
        <v/>
      </c>
      <c r="I23" s="1" t="str">
        <f t="shared" si="2"/>
        <v>J'aime</v>
      </c>
      <c r="J23" s="1" t="str">
        <f t="shared" si="3"/>
        <v>la</v>
      </c>
      <c r="K23" s="1" t="str">
        <f t="shared" si="4"/>
        <v>physique</v>
      </c>
      <c r="L23" s="42" t="str">
        <f t="shared" si="5"/>
        <v/>
      </c>
      <c r="V23" s="44" t="str">
        <f t="shared" si="6"/>
        <v/>
      </c>
      <c r="W23" t="str">
        <f t="shared" si="7"/>
        <v/>
      </c>
      <c r="X23" s="45" t="str">
        <f t="shared" si="8"/>
        <v/>
      </c>
    </row>
    <row r="24" spans="2:24" x14ac:dyDescent="0.3">
      <c r="B24" s="38">
        <v>22</v>
      </c>
      <c r="C24" s="39"/>
      <c r="D24" s="39"/>
      <c r="E24" s="39"/>
      <c r="F24" s="40"/>
      <c r="G24" s="21" t="str">
        <f t="shared" si="0"/>
        <v/>
      </c>
      <c r="H24" s="41" t="str">
        <f t="shared" si="1"/>
        <v/>
      </c>
      <c r="I24" s="1" t="str">
        <f t="shared" si="2"/>
        <v>J'aime</v>
      </c>
      <c r="J24" s="1" t="str">
        <f t="shared" si="3"/>
        <v>la</v>
      </c>
      <c r="K24" s="1" t="str">
        <f t="shared" si="4"/>
        <v>physique</v>
      </c>
      <c r="L24" s="42" t="str">
        <f t="shared" si="5"/>
        <v/>
      </c>
      <c r="V24" s="44" t="str">
        <f t="shared" si="6"/>
        <v/>
      </c>
      <c r="W24" t="str">
        <f t="shared" si="7"/>
        <v/>
      </c>
      <c r="X24" s="45" t="str">
        <f t="shared" si="8"/>
        <v/>
      </c>
    </row>
    <row r="25" spans="2:24" x14ac:dyDescent="0.3">
      <c r="B25" s="38">
        <v>23</v>
      </c>
      <c r="C25" s="39"/>
      <c r="D25" s="39"/>
      <c r="E25" s="39"/>
      <c r="F25" s="40"/>
      <c r="G25" s="21" t="str">
        <f t="shared" si="0"/>
        <v/>
      </c>
      <c r="H25" s="41" t="str">
        <f t="shared" si="1"/>
        <v/>
      </c>
      <c r="I25" s="1" t="str">
        <f t="shared" si="2"/>
        <v>J'aime</v>
      </c>
      <c r="J25" s="1" t="str">
        <f t="shared" si="3"/>
        <v>la</v>
      </c>
      <c r="K25" s="1" t="str">
        <f t="shared" si="4"/>
        <v>physique</v>
      </c>
      <c r="L25" s="42" t="str">
        <f t="shared" si="5"/>
        <v/>
      </c>
      <c r="V25" s="44" t="str">
        <f t="shared" si="6"/>
        <v/>
      </c>
      <c r="W25" t="str">
        <f t="shared" si="7"/>
        <v/>
      </c>
      <c r="X25" s="45" t="str">
        <f t="shared" si="8"/>
        <v/>
      </c>
    </row>
    <row r="26" spans="2:24" x14ac:dyDescent="0.3">
      <c r="B26" s="38">
        <v>24</v>
      </c>
      <c r="C26" s="39"/>
      <c r="D26" s="39"/>
      <c r="E26" s="39"/>
      <c r="F26" s="40"/>
      <c r="G26" s="21" t="str">
        <f t="shared" si="0"/>
        <v/>
      </c>
      <c r="H26" s="41" t="str">
        <f t="shared" si="1"/>
        <v/>
      </c>
      <c r="I26" s="1" t="str">
        <f t="shared" si="2"/>
        <v>J'aime</v>
      </c>
      <c r="J26" s="1" t="str">
        <f t="shared" si="3"/>
        <v>la</v>
      </c>
      <c r="K26" s="1" t="str">
        <f t="shared" si="4"/>
        <v>physique</v>
      </c>
      <c r="L26" s="42" t="str">
        <f t="shared" si="5"/>
        <v/>
      </c>
      <c r="V26" s="44" t="str">
        <f t="shared" si="6"/>
        <v/>
      </c>
      <c r="W26" t="str">
        <f t="shared" si="7"/>
        <v/>
      </c>
      <c r="X26" s="45" t="str">
        <f t="shared" si="8"/>
        <v/>
      </c>
    </row>
    <row r="27" spans="2:24" x14ac:dyDescent="0.3">
      <c r="B27" s="53">
        <v>25</v>
      </c>
      <c r="C27" s="54"/>
      <c r="D27" s="54"/>
      <c r="E27" s="54"/>
      <c r="F27" s="55"/>
      <c r="G27" s="21" t="str">
        <f t="shared" si="0"/>
        <v/>
      </c>
      <c r="H27" s="56" t="str">
        <f t="shared" si="1"/>
        <v/>
      </c>
      <c r="I27" s="57" t="str">
        <f t="shared" si="2"/>
        <v>J'aime</v>
      </c>
      <c r="J27" s="57" t="str">
        <f t="shared" si="3"/>
        <v>la</v>
      </c>
      <c r="K27" s="57" t="str">
        <f t="shared" si="4"/>
        <v>physique</v>
      </c>
      <c r="L27" s="58" t="str">
        <f t="shared" si="5"/>
        <v/>
      </c>
      <c r="V27" s="48" t="str">
        <f t="shared" si="6"/>
        <v/>
      </c>
      <c r="W27" s="59" t="str">
        <f t="shared" si="7"/>
        <v/>
      </c>
      <c r="X27" s="49" t="str">
        <f t="shared" si="8"/>
        <v/>
      </c>
    </row>
    <row r="28" spans="2:24" x14ac:dyDescent="0.3">
      <c r="B28" s="1"/>
      <c r="H28" s="1" t="str">
        <f>IF(OR(C28="",D28="",E28="",F28="",H25="Remplissez",D28+F28=0),"",1/(F28^2+$M$3^2*D28^2))</f>
        <v/>
      </c>
      <c r="I28" s="1"/>
      <c r="J28" s="1"/>
      <c r="K28" s="1"/>
      <c r="L28" s="1"/>
      <c r="W28" t="str">
        <f t="shared" si="7"/>
        <v/>
      </c>
      <c r="X28" t="str">
        <f t="shared" si="8"/>
        <v/>
      </c>
    </row>
    <row r="29" spans="2:24" ht="16.8" x14ac:dyDescent="0.35">
      <c r="C29" s="1"/>
      <c r="D29" s="1"/>
      <c r="E29" s="1"/>
      <c r="F29" s="1"/>
      <c r="G29" s="60"/>
      <c r="H29" s="18" t="s">
        <v>29</v>
      </c>
      <c r="I29" s="19" t="s">
        <v>30</v>
      </c>
      <c r="J29" s="19" t="s">
        <v>31</v>
      </c>
      <c r="K29" s="19" t="s">
        <v>32</v>
      </c>
      <c r="L29" s="19" t="s">
        <v>33</v>
      </c>
      <c r="M29" s="61" t="s">
        <v>34</v>
      </c>
      <c r="R29" s="60"/>
      <c r="S29" s="60"/>
      <c r="T29" s="60"/>
      <c r="U29" s="60"/>
    </row>
    <row r="30" spans="2:24" x14ac:dyDescent="0.3">
      <c r="C30" s="1"/>
      <c r="D30" s="1"/>
      <c r="E30" s="1"/>
      <c r="F30" s="1"/>
      <c r="H30" s="30">
        <f>IF(M3="-","-",SUM(H3:H27))</f>
        <v>819087442195079.75</v>
      </c>
      <c r="I30" s="62">
        <f>IF(M3="-","-",SUM(I3:I27))</f>
        <v>8502563140114654</v>
      </c>
      <c r="J30" s="62">
        <f>IF(M3="-","-",SUM(J3:J27))</f>
        <v>1681473683.3518739</v>
      </c>
      <c r="K30" s="62">
        <f>IF(M3="-","-",SUM(K3:K27))</f>
        <v>1.151859788591348E+17</v>
      </c>
      <c r="L30" s="62">
        <f>IF(M3="-","-",SUM(L3:L27))</f>
        <v>22980451251.477745</v>
      </c>
      <c r="M30" s="63">
        <f>IF(M3="-","-",H30*K30-I30^2)</f>
        <v>2.2053808848828897E+31</v>
      </c>
    </row>
    <row r="31" spans="2:24" x14ac:dyDescent="0.3">
      <c r="C31" s="64"/>
      <c r="D31" s="64"/>
      <c r="E31" s="64"/>
      <c r="F31" s="64"/>
    </row>
    <row r="32" spans="2:24" x14ac:dyDescent="0.3">
      <c r="C32" s="64"/>
      <c r="D32" s="64"/>
      <c r="E32" s="64"/>
      <c r="F32" s="64"/>
    </row>
    <row r="33" spans="3:6" x14ac:dyDescent="0.3">
      <c r="C33" s="64"/>
      <c r="D33" s="64"/>
      <c r="E33" s="64"/>
      <c r="F33" s="64"/>
    </row>
    <row r="34" spans="3:6" x14ac:dyDescent="0.3">
      <c r="C34" s="64"/>
      <c r="D34" s="64"/>
      <c r="E34" s="64"/>
      <c r="F34" s="64"/>
    </row>
    <row r="35" spans="3:6" x14ac:dyDescent="0.3">
      <c r="C35" s="64"/>
      <c r="D35" s="64"/>
      <c r="E35" s="64"/>
      <c r="F35" s="64"/>
    </row>
    <row r="36" spans="3:6" x14ac:dyDescent="0.3">
      <c r="C36" s="64"/>
      <c r="D36" s="64"/>
      <c r="E36" s="64"/>
      <c r="F36" s="64"/>
    </row>
    <row r="37" spans="3:6" x14ac:dyDescent="0.3">
      <c r="C37" s="64"/>
      <c r="D37" s="64"/>
      <c r="E37" s="64"/>
      <c r="F37" s="64"/>
    </row>
    <row r="38" spans="3:6" x14ac:dyDescent="0.3">
      <c r="C38" s="64"/>
      <c r="D38" s="64"/>
      <c r="E38" s="64"/>
      <c r="F38" s="64"/>
    </row>
  </sheetData>
  <sheetProtection algorithmName="SHA-512" hashValue="HH5uXJFgBrYhA+WNLyWk20mUXHFMJP06qPI+vH5fLvmTHAxzTvlfVc6haOfPCoXt9aaO8b751laOb9euPtU6Pg==" saltValue="BtnKZaePnG2N0DSA75Msug==" spinCount="100000" sheet="1" objects="1" scenarios="1"/>
  <mergeCells count="11">
    <mergeCell ref="O2:Q2"/>
    <mergeCell ref="O22:P22"/>
    <mergeCell ref="S2:T2"/>
    <mergeCell ref="V2:X2"/>
    <mergeCell ref="O4:P4"/>
    <mergeCell ref="S7:T7"/>
    <mergeCell ref="O10:P10"/>
    <mergeCell ref="O11:O12"/>
    <mergeCell ref="P11:P12"/>
    <mergeCell ref="O14:P15"/>
    <mergeCell ref="O16:P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3</vt:i4>
      </vt:variant>
    </vt:vector>
  </HeadingPairs>
  <TitlesOfParts>
    <vt:vector size="6" baseType="lpstr">
      <vt:lpstr>Tableaux et calculs</vt:lpstr>
      <vt:lpstr>RLineaire R1</vt:lpstr>
      <vt:lpstr>RLineaire R4</vt:lpstr>
      <vt:lpstr>Graphique R1</vt:lpstr>
      <vt:lpstr>Graphique R2</vt:lpstr>
      <vt:lpstr>Graphique Ampoule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Elliot Lalancette</dc:creator>
  <cp:keywords/>
  <dc:description/>
  <cp:lastModifiedBy>Hugo Barrette</cp:lastModifiedBy>
  <cp:revision/>
  <dcterms:created xsi:type="dcterms:W3CDTF">2026-02-16T20:46:43Z</dcterms:created>
  <dcterms:modified xsi:type="dcterms:W3CDTF">2026-02-24T20:50:50Z</dcterms:modified>
  <cp:category/>
  <cp:contentStatus/>
</cp:coreProperties>
</file>